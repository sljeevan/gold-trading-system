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se-Adaptive Matrix" sheetId="1" state="visible" r:id="rId1"/>
    <sheet xmlns:r="http://schemas.openxmlformats.org/officeDocument/2006/relationships" name="Phases &amp; Risk Rules" sheetId="2" state="visible" r:id="rId2"/>
    <sheet xmlns:r="http://schemas.openxmlformats.org/officeDocument/2006/relationships" name="Old Plan vs New Lad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FFFFFF"/>
      <sz val="10"/>
    </font>
    <font>
      <name val="Segoe UI"/>
      <b val="1"/>
      <color rgb="00D97706"/>
      <sz val="10"/>
    </font>
    <font>
      <name val="Segoe UI"/>
      <b val="1"/>
      <sz val="10"/>
    </font>
    <font>
      <name val="Segoe UI"/>
      <b val="1"/>
      <color rgb="00047857"/>
      <sz val="10"/>
    </font>
    <font>
      <name val="Segoe UI"/>
      <b val="1"/>
      <color rgb="002563EB"/>
      <sz val="10"/>
    </font>
    <font>
      <name val="Segoe UI"/>
      <b val="1"/>
      <color rgb="0016A34A"/>
      <sz val="10"/>
    </font>
    <font>
      <name val="Segoe UI"/>
      <b val="1"/>
      <color rgb="000F172A"/>
      <sz val="10"/>
    </font>
    <font>
      <name val="Segoe UI"/>
      <b val="1"/>
      <color rgb="00FFFFFF"/>
      <sz val="15"/>
    </font>
    <font>
      <name val="Segoe UI"/>
      <b val="1"/>
      <color rgb="001E3A8A"/>
      <sz val="12"/>
    </font>
    <font>
      <name val="Segoe UI"/>
      <sz val="10"/>
    </font>
    <font>
      <name val="Segoe UI"/>
      <color rgb="00475569"/>
      <sz val="9.5"/>
    </font>
    <font>
      <name val="Segoe UI"/>
      <color rgb="00991B1B"/>
      <sz val="9.5"/>
    </font>
    <font>
      <name val="Segoe UI"/>
      <b val="1"/>
      <color rgb="00166534"/>
      <sz val="9.5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4426E"/>
        <bgColor rgb="0024426E"/>
      </patternFill>
    </fill>
    <fill>
      <patternFill patternType="solid">
        <fgColor rgb="001E3A8A"/>
        <bgColor rgb="001E3A8A"/>
      </patternFill>
    </fill>
    <fill>
      <patternFill patternType="solid">
        <fgColor rgb="00FFF4DE"/>
        <bgColor rgb="00FFF4DE"/>
      </patternFill>
    </fill>
    <fill>
      <patternFill patternType="solid">
        <fgColor rgb="00E7F0FD"/>
        <bgColor rgb="00E7F0FD"/>
      </patternFill>
    </fill>
    <fill>
      <patternFill patternType="solid">
        <fgColor rgb="00E8F5E9"/>
        <bgColor rgb="00E8F5E9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4" fontId="9" fillId="8" borderId="2" pivotButton="0" quotePrefix="0" xfId="0"/>
    <xf numFmtId="0" fontId="10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11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10" customWidth="1" min="4" max="4"/>
    <col width="18" customWidth="1" min="5" max="5"/>
    <col width="14" customWidth="1" min="6" max="6"/>
    <col width="18" customWidth="1" min="7" max="7"/>
    <col width="17" customWidth="1" min="8" max="8"/>
    <col width="18" customWidth="1" min="9" max="9"/>
    <col width="13" customWidth="1" min="10" max="10"/>
    <col width="14" customWidth="1" min="11" max="11"/>
    <col width="12" customWidth="1" min="12" max="12"/>
    <col width="17" customWidth="1" min="13" max="13"/>
    <col width="17" customWidth="1" min="14" max="14"/>
    <col width="17" customWidth="1" min="15" max="15"/>
    <col width="16" customWidth="1" min="16" max="16"/>
  </cols>
  <sheetData>
    <row r="1" ht="36" customHeight="1">
      <c r="A1" s="1" t="inlineStr">
        <is>
          <t>GOLD (XAU/USD) NOISE-ADAPTIVE COMPOUNDING LADDER</t>
        </is>
      </c>
    </row>
    <row r="2" ht="22" customHeight="1">
      <c r="A2" s="2" t="inlineStr">
        <is>
          <t>Calibrated for Intraday Volatility Noise Clearance (ATR Stops &gt;= $8.00/oz | 1.5R Payoff | Progressive Ratchet Floors | $100.00 Seed)</t>
        </is>
      </c>
    </row>
    <row r="3" ht="10" customHeight="1"/>
    <row r="4" ht="28" customHeight="1">
      <c r="A4" s="3" t="inlineStr">
        <is>
          <t>Level</t>
        </is>
      </c>
      <c r="B4" s="3" t="inlineStr">
        <is>
          <t>Phase</t>
        </is>
      </c>
      <c r="C4" s="3" t="inlineStr">
        <is>
          <t>Starting Balance</t>
        </is>
      </c>
      <c r="D4" s="3" t="inlineStr">
        <is>
          <t>Risk %</t>
        </is>
      </c>
      <c r="E4" s="3" t="inlineStr">
        <is>
          <t>Planned Risk ($)</t>
        </is>
      </c>
      <c r="F4" s="3" t="inlineStr">
        <is>
          <t>Target Gain %</t>
        </is>
      </c>
      <c r="G4" s="3" t="inlineStr">
        <is>
          <t>Target Gain ($)</t>
        </is>
      </c>
      <c r="H4" s="3" t="inlineStr">
        <is>
          <t>Ending Balance</t>
        </is>
      </c>
      <c r="I4" s="3" t="inlineStr">
        <is>
          <t>Cumulative Profit</t>
        </is>
      </c>
      <c r="J4" s="3" t="inlineStr">
        <is>
          <t>Min SL ($)</t>
        </is>
      </c>
      <c r="K4" s="3" t="inlineStr">
        <is>
          <t>Target TP ($)</t>
        </is>
      </c>
      <c r="L4" s="3" t="inlineStr">
        <is>
          <t>R:R Ratio</t>
        </is>
      </c>
      <c r="M4" s="3" t="inlineStr">
        <is>
          <t>Lot Size ($8 SL)</t>
        </is>
      </c>
      <c r="N4" s="3" t="inlineStr">
        <is>
          <t>Lot Size ($10 SL)</t>
        </is>
      </c>
      <c r="O4" s="3" t="inlineStr">
        <is>
          <t>Lot Size ($12 SL)</t>
        </is>
      </c>
      <c r="P4" s="3" t="inlineStr">
        <is>
          <t>Active Floor ($)</t>
        </is>
      </c>
    </row>
    <row r="5" ht="20" customHeight="1">
      <c r="A5" s="4" t="n">
        <v>1</v>
      </c>
      <c r="B5" s="5" t="inlineStr">
        <is>
          <t>Sprint</t>
        </is>
      </c>
      <c r="C5" s="6" t="n">
        <v>100</v>
      </c>
      <c r="D5" s="7" t="n">
        <v>0.1</v>
      </c>
      <c r="E5" s="6" t="n">
        <v>10</v>
      </c>
      <c r="F5" s="7" t="n">
        <v>0.15</v>
      </c>
      <c r="G5" s="6" t="n">
        <v>15</v>
      </c>
      <c r="H5" s="8" t="n">
        <v>115</v>
      </c>
      <c r="I5" s="6" t="n">
        <v>15</v>
      </c>
      <c r="J5" s="9" t="n">
        <v>8</v>
      </c>
      <c r="K5" s="9" t="n">
        <v>12</v>
      </c>
      <c r="L5" s="4" t="inlineStr">
        <is>
          <t>1 : 1.5</t>
        </is>
      </c>
      <c r="M5" s="10" t="n">
        <v>0.01</v>
      </c>
      <c r="N5" s="10" t="n">
        <v>0.01</v>
      </c>
      <c r="O5" s="10" t="n">
        <v>0.01</v>
      </c>
      <c r="P5" s="4" t="inlineStr">
        <is>
          <t>Seed</t>
        </is>
      </c>
    </row>
    <row r="6" ht="20" customHeight="1">
      <c r="A6" s="4" t="n">
        <v>2</v>
      </c>
      <c r="B6" s="5" t="inlineStr">
        <is>
          <t>Sprint</t>
        </is>
      </c>
      <c r="C6" s="6" t="n">
        <v>115</v>
      </c>
      <c r="D6" s="7" t="n">
        <v>0.1</v>
      </c>
      <c r="E6" s="6" t="n">
        <v>11.5</v>
      </c>
      <c r="F6" s="7" t="n">
        <v>0.15</v>
      </c>
      <c r="G6" s="6" t="n">
        <v>17.25</v>
      </c>
      <c r="H6" s="8" t="n">
        <v>132.25</v>
      </c>
      <c r="I6" s="6" t="n">
        <v>32.25</v>
      </c>
      <c r="J6" s="9" t="n">
        <v>8</v>
      </c>
      <c r="K6" s="9" t="n">
        <v>12</v>
      </c>
      <c r="L6" s="4" t="inlineStr">
        <is>
          <t>1 : 1.5</t>
        </is>
      </c>
      <c r="M6" s="10" t="n">
        <v>0.01</v>
      </c>
      <c r="N6" s="10" t="n">
        <v>0.01</v>
      </c>
      <c r="O6" s="10" t="n">
        <v>0.01</v>
      </c>
      <c r="P6" s="4" t="inlineStr">
        <is>
          <t>Seed</t>
        </is>
      </c>
    </row>
    <row r="7" ht="20" customHeight="1">
      <c r="A7" s="4" t="n">
        <v>3</v>
      </c>
      <c r="B7" s="5" t="inlineStr">
        <is>
          <t>Sprint</t>
        </is>
      </c>
      <c r="C7" s="6" t="n">
        <v>132.25</v>
      </c>
      <c r="D7" s="7" t="n">
        <v>0.1</v>
      </c>
      <c r="E7" s="6" t="n">
        <v>13.23</v>
      </c>
      <c r="F7" s="7" t="n">
        <v>0.15</v>
      </c>
      <c r="G7" s="6" t="n">
        <v>19.84</v>
      </c>
      <c r="H7" s="8" t="n">
        <v>152.09</v>
      </c>
      <c r="I7" s="6" t="n">
        <v>52.09</v>
      </c>
      <c r="J7" s="9" t="n">
        <v>8</v>
      </c>
      <c r="K7" s="9" t="n">
        <v>12</v>
      </c>
      <c r="L7" s="4" t="inlineStr">
        <is>
          <t>1 : 1.5</t>
        </is>
      </c>
      <c r="M7" s="10" t="n">
        <v>0.02</v>
      </c>
      <c r="N7" s="10" t="n">
        <v>0.01</v>
      </c>
      <c r="O7" s="10" t="n">
        <v>0.01</v>
      </c>
      <c r="P7" s="4" t="inlineStr">
        <is>
          <t>Seed</t>
        </is>
      </c>
    </row>
    <row r="8" ht="20" customHeight="1">
      <c r="A8" s="4" t="n">
        <v>4</v>
      </c>
      <c r="B8" s="5" t="inlineStr">
        <is>
          <t>Sprint</t>
        </is>
      </c>
      <c r="C8" s="6" t="n">
        <v>152.09</v>
      </c>
      <c r="D8" s="7" t="n">
        <v>0.1</v>
      </c>
      <c r="E8" s="6" t="n">
        <v>15.21</v>
      </c>
      <c r="F8" s="7" t="n">
        <v>0.15</v>
      </c>
      <c r="G8" s="6" t="n">
        <v>22.81</v>
      </c>
      <c r="H8" s="8" t="n">
        <v>174.9</v>
      </c>
      <c r="I8" s="6" t="n">
        <v>74.90000000000001</v>
      </c>
      <c r="J8" s="9" t="n">
        <v>8</v>
      </c>
      <c r="K8" s="9" t="n">
        <v>12</v>
      </c>
      <c r="L8" s="4" t="inlineStr">
        <is>
          <t>1 : 1.5</t>
        </is>
      </c>
      <c r="M8" s="10" t="n">
        <v>0.02</v>
      </c>
      <c r="N8" s="10" t="n">
        <v>0.02</v>
      </c>
      <c r="O8" s="10" t="n">
        <v>0.01</v>
      </c>
      <c r="P8" s="4" t="inlineStr">
        <is>
          <t>Seed</t>
        </is>
      </c>
    </row>
    <row r="9" ht="20" customHeight="1">
      <c r="A9" s="4" t="n">
        <v>5</v>
      </c>
      <c r="B9" s="5" t="inlineStr">
        <is>
          <t>Sprint</t>
        </is>
      </c>
      <c r="C9" s="6" t="n">
        <v>174.9</v>
      </c>
      <c r="D9" s="7" t="n">
        <v>0.1</v>
      </c>
      <c r="E9" s="6" t="n">
        <v>17.49</v>
      </c>
      <c r="F9" s="7" t="n">
        <v>0.15</v>
      </c>
      <c r="G9" s="6" t="n">
        <v>26.24</v>
      </c>
      <c r="H9" s="8" t="n">
        <v>201.14</v>
      </c>
      <c r="I9" s="6" t="n">
        <v>101.14</v>
      </c>
      <c r="J9" s="9" t="n">
        <v>8</v>
      </c>
      <c r="K9" s="9" t="n">
        <v>12</v>
      </c>
      <c r="L9" s="4" t="inlineStr">
        <is>
          <t>1 : 1.5</t>
        </is>
      </c>
      <c r="M9" s="10" t="n">
        <v>0.02</v>
      </c>
      <c r="N9" s="10" t="n">
        <v>0.02</v>
      </c>
      <c r="O9" s="10" t="n">
        <v>0.01</v>
      </c>
      <c r="P9" s="4" t="inlineStr">
        <is>
          <t>Seed</t>
        </is>
      </c>
    </row>
    <row r="10" ht="20" customHeight="1">
      <c r="A10" s="4" t="n">
        <v>6</v>
      </c>
      <c r="B10" s="5" t="inlineStr">
        <is>
          <t>Sprint</t>
        </is>
      </c>
      <c r="C10" s="6" t="n">
        <v>201.14</v>
      </c>
      <c r="D10" s="7" t="n">
        <v>0.1</v>
      </c>
      <c r="E10" s="6" t="n">
        <v>20.11</v>
      </c>
      <c r="F10" s="7" t="n">
        <v>0.15</v>
      </c>
      <c r="G10" s="6" t="n">
        <v>30.17</v>
      </c>
      <c r="H10" s="8" t="n">
        <v>231.31</v>
      </c>
      <c r="I10" s="6" t="n">
        <v>131.31</v>
      </c>
      <c r="J10" s="9" t="n">
        <v>8</v>
      </c>
      <c r="K10" s="9" t="n">
        <v>12</v>
      </c>
      <c r="L10" s="4" t="inlineStr">
        <is>
          <t>1 : 1.5</t>
        </is>
      </c>
      <c r="M10" s="10" t="n">
        <v>0.03</v>
      </c>
      <c r="N10" s="10" t="n">
        <v>0.02</v>
      </c>
      <c r="O10" s="10" t="n">
        <v>0.02</v>
      </c>
      <c r="P10" s="4" t="inlineStr">
        <is>
          <t>Seed</t>
        </is>
      </c>
    </row>
    <row r="11" ht="20" customHeight="1">
      <c r="A11" s="4" t="n">
        <v>7</v>
      </c>
      <c r="B11" s="5" t="inlineStr">
        <is>
          <t>Sprint</t>
        </is>
      </c>
      <c r="C11" s="6" t="n">
        <v>231.31</v>
      </c>
      <c r="D11" s="7" t="n">
        <v>0.1</v>
      </c>
      <c r="E11" s="6" t="n">
        <v>23.13</v>
      </c>
      <c r="F11" s="7" t="n">
        <v>0.15</v>
      </c>
      <c r="G11" s="6" t="n">
        <v>34.7</v>
      </c>
      <c r="H11" s="8" t="n">
        <v>266.01</v>
      </c>
      <c r="I11" s="6" t="n">
        <v>166.01</v>
      </c>
      <c r="J11" s="9" t="n">
        <v>8</v>
      </c>
      <c r="K11" s="9" t="n">
        <v>12</v>
      </c>
      <c r="L11" s="4" t="inlineStr">
        <is>
          <t>1 : 1.5</t>
        </is>
      </c>
      <c r="M11" s="10" t="n">
        <v>0.03</v>
      </c>
      <c r="N11" s="10" t="n">
        <v>0.02</v>
      </c>
      <c r="O11" s="10" t="n">
        <v>0.02</v>
      </c>
      <c r="P11" s="4" t="inlineStr">
        <is>
          <t>Seed</t>
        </is>
      </c>
    </row>
    <row r="12" ht="20" customHeight="1">
      <c r="A12" s="4" t="n">
        <v>8</v>
      </c>
      <c r="B12" s="5" t="inlineStr">
        <is>
          <t>Sprint</t>
        </is>
      </c>
      <c r="C12" s="6" t="n">
        <v>266.01</v>
      </c>
      <c r="D12" s="7" t="n">
        <v>0.1</v>
      </c>
      <c r="E12" s="6" t="n">
        <v>26.6</v>
      </c>
      <c r="F12" s="7" t="n">
        <v>0.15</v>
      </c>
      <c r="G12" s="6" t="n">
        <v>39.9</v>
      </c>
      <c r="H12" s="8" t="n">
        <v>305.91</v>
      </c>
      <c r="I12" s="6" t="n">
        <v>205.91</v>
      </c>
      <c r="J12" s="9" t="n">
        <v>8</v>
      </c>
      <c r="K12" s="9" t="n">
        <v>12</v>
      </c>
      <c r="L12" s="4" t="inlineStr">
        <is>
          <t>1 : 1.5</t>
        </is>
      </c>
      <c r="M12" s="10" t="n">
        <v>0.03</v>
      </c>
      <c r="N12" s="10" t="n">
        <v>0.03</v>
      </c>
      <c r="O12" s="10" t="n">
        <v>0.02</v>
      </c>
      <c r="P12" s="11" t="inlineStr">
        <is>
          <t>$150.00</t>
        </is>
      </c>
    </row>
    <row r="13" ht="20" customHeight="1">
      <c r="A13" s="4" t="n">
        <v>9</v>
      </c>
      <c r="B13" s="5" t="inlineStr">
        <is>
          <t>Sprint</t>
        </is>
      </c>
      <c r="C13" s="6" t="n">
        <v>305.91</v>
      </c>
      <c r="D13" s="7" t="n">
        <v>0.1</v>
      </c>
      <c r="E13" s="6" t="n">
        <v>30.59</v>
      </c>
      <c r="F13" s="7" t="n">
        <v>0.15</v>
      </c>
      <c r="G13" s="6" t="n">
        <v>45.89</v>
      </c>
      <c r="H13" s="8" t="n">
        <v>351.8</v>
      </c>
      <c r="I13" s="6" t="n">
        <v>251.8</v>
      </c>
      <c r="J13" s="9" t="n">
        <v>8</v>
      </c>
      <c r="K13" s="9" t="n">
        <v>12</v>
      </c>
      <c r="L13" s="4" t="inlineStr">
        <is>
          <t>1 : 1.5</t>
        </is>
      </c>
      <c r="M13" s="10" t="n">
        <v>0.04</v>
      </c>
      <c r="N13" s="10" t="n">
        <v>0.03</v>
      </c>
      <c r="O13" s="10" t="n">
        <v>0.03</v>
      </c>
      <c r="P13" s="11" t="inlineStr">
        <is>
          <t>$150.00</t>
        </is>
      </c>
    </row>
    <row r="14" ht="20" customHeight="1">
      <c r="A14" s="4" t="n">
        <v>10</v>
      </c>
      <c r="B14" s="5" t="inlineStr">
        <is>
          <t>Sprint</t>
        </is>
      </c>
      <c r="C14" s="6" t="n">
        <v>351.8</v>
      </c>
      <c r="D14" s="7" t="n">
        <v>0.1</v>
      </c>
      <c r="E14" s="6" t="n">
        <v>35.18</v>
      </c>
      <c r="F14" s="7" t="n">
        <v>0.15</v>
      </c>
      <c r="G14" s="6" t="n">
        <v>52.77</v>
      </c>
      <c r="H14" s="8" t="n">
        <v>404.57</v>
      </c>
      <c r="I14" s="6" t="n">
        <v>304.57</v>
      </c>
      <c r="J14" s="9" t="n">
        <v>8</v>
      </c>
      <c r="K14" s="9" t="n">
        <v>12</v>
      </c>
      <c r="L14" s="4" t="inlineStr">
        <is>
          <t>1 : 1.5</t>
        </is>
      </c>
      <c r="M14" s="10" t="n">
        <v>0.04</v>
      </c>
      <c r="N14" s="10" t="n">
        <v>0.04</v>
      </c>
      <c r="O14" s="10" t="n">
        <v>0.03</v>
      </c>
      <c r="P14" s="11" t="inlineStr">
        <is>
          <t>$150.00</t>
        </is>
      </c>
    </row>
    <row r="15" ht="20" customHeight="1">
      <c r="A15" s="4" t="n">
        <v>11</v>
      </c>
      <c r="B15" s="5" t="inlineStr">
        <is>
          <t>Sprint</t>
        </is>
      </c>
      <c r="C15" s="6" t="n">
        <v>404.57</v>
      </c>
      <c r="D15" s="7" t="n">
        <v>0.1</v>
      </c>
      <c r="E15" s="6" t="n">
        <v>40.46</v>
      </c>
      <c r="F15" s="7" t="n">
        <v>0.15</v>
      </c>
      <c r="G15" s="6" t="n">
        <v>60.69</v>
      </c>
      <c r="H15" s="8" t="n">
        <v>465.26</v>
      </c>
      <c r="I15" s="6" t="n">
        <v>365.26</v>
      </c>
      <c r="J15" s="9" t="n">
        <v>8</v>
      </c>
      <c r="K15" s="9" t="n">
        <v>12</v>
      </c>
      <c r="L15" s="4" t="inlineStr">
        <is>
          <t>1 : 1.5</t>
        </is>
      </c>
      <c r="M15" s="10" t="n">
        <v>0.05</v>
      </c>
      <c r="N15" s="10" t="n">
        <v>0.04</v>
      </c>
      <c r="O15" s="10" t="n">
        <v>0.03</v>
      </c>
      <c r="P15" s="11" t="inlineStr">
        <is>
          <t>$150.00</t>
        </is>
      </c>
    </row>
    <row r="16" ht="20" customHeight="1">
      <c r="A16" s="4" t="n">
        <v>12</v>
      </c>
      <c r="B16" s="5" t="inlineStr">
        <is>
          <t>Sprint</t>
        </is>
      </c>
      <c r="C16" s="6" t="n">
        <v>465.26</v>
      </c>
      <c r="D16" s="7" t="n">
        <v>0.1</v>
      </c>
      <c r="E16" s="6" t="n">
        <v>46.53</v>
      </c>
      <c r="F16" s="7" t="n">
        <v>0.15</v>
      </c>
      <c r="G16" s="6" t="n">
        <v>69.79000000000001</v>
      </c>
      <c r="H16" s="8" t="n">
        <v>535.05</v>
      </c>
      <c r="I16" s="6" t="n">
        <v>435.05</v>
      </c>
      <c r="J16" s="9" t="n">
        <v>8</v>
      </c>
      <c r="K16" s="9" t="n">
        <v>12</v>
      </c>
      <c r="L16" s="4" t="inlineStr">
        <is>
          <t>1 : 1.5</t>
        </is>
      </c>
      <c r="M16" s="10" t="n">
        <v>0.06</v>
      </c>
      <c r="N16" s="10" t="n">
        <v>0.05</v>
      </c>
      <c r="O16" s="10" t="n">
        <v>0.04</v>
      </c>
      <c r="P16" s="11" t="inlineStr">
        <is>
          <t>$150.00</t>
        </is>
      </c>
    </row>
    <row r="17" ht="20" customHeight="1">
      <c r="A17" s="12" t="n">
        <v>13</v>
      </c>
      <c r="B17" s="13" t="inlineStr">
        <is>
          <t>Expansion</t>
        </is>
      </c>
      <c r="C17" s="14" t="n">
        <v>535.05</v>
      </c>
      <c r="D17" s="15" t="n">
        <v>0.08</v>
      </c>
      <c r="E17" s="14" t="n">
        <v>42.8</v>
      </c>
      <c r="F17" s="15" t="n">
        <v>0.12</v>
      </c>
      <c r="G17" s="14" t="n">
        <v>64.20999999999999</v>
      </c>
      <c r="H17" s="16" t="n">
        <v>599.26</v>
      </c>
      <c r="I17" s="14" t="n">
        <v>499.26</v>
      </c>
      <c r="J17" s="17" t="n">
        <v>8</v>
      </c>
      <c r="K17" s="17" t="n">
        <v>12</v>
      </c>
      <c r="L17" s="12" t="inlineStr">
        <is>
          <t>1 : 1.5</t>
        </is>
      </c>
      <c r="M17" s="18" t="n">
        <v>0.05</v>
      </c>
      <c r="N17" s="18" t="n">
        <v>0.04</v>
      </c>
      <c r="O17" s="18" t="n">
        <v>0.04</v>
      </c>
      <c r="P17" s="19" t="inlineStr">
        <is>
          <t>$350.00</t>
        </is>
      </c>
    </row>
    <row r="18" ht="20" customHeight="1">
      <c r="A18" s="12" t="n">
        <v>14</v>
      </c>
      <c r="B18" s="13" t="inlineStr">
        <is>
          <t>Expansion</t>
        </is>
      </c>
      <c r="C18" s="14" t="n">
        <v>599.26</v>
      </c>
      <c r="D18" s="15" t="n">
        <v>0.08</v>
      </c>
      <c r="E18" s="14" t="n">
        <v>47.94</v>
      </c>
      <c r="F18" s="15" t="n">
        <v>0.12</v>
      </c>
      <c r="G18" s="14" t="n">
        <v>71.91</v>
      </c>
      <c r="H18" s="16" t="n">
        <v>671.17</v>
      </c>
      <c r="I18" s="14" t="n">
        <v>571.17</v>
      </c>
      <c r="J18" s="17" t="n">
        <v>8</v>
      </c>
      <c r="K18" s="17" t="n">
        <v>12</v>
      </c>
      <c r="L18" s="12" t="inlineStr">
        <is>
          <t>1 : 1.5</t>
        </is>
      </c>
      <c r="M18" s="18" t="n">
        <v>0.06</v>
      </c>
      <c r="N18" s="18" t="n">
        <v>0.05</v>
      </c>
      <c r="O18" s="18" t="n">
        <v>0.04</v>
      </c>
      <c r="P18" s="19" t="inlineStr">
        <is>
          <t>$350.00</t>
        </is>
      </c>
    </row>
    <row r="19" ht="20" customHeight="1">
      <c r="A19" s="12" t="n">
        <v>15</v>
      </c>
      <c r="B19" s="13" t="inlineStr">
        <is>
          <t>Expansion</t>
        </is>
      </c>
      <c r="C19" s="14" t="n">
        <v>671.17</v>
      </c>
      <c r="D19" s="15" t="n">
        <v>0.08</v>
      </c>
      <c r="E19" s="14" t="n">
        <v>53.69</v>
      </c>
      <c r="F19" s="15" t="n">
        <v>0.12</v>
      </c>
      <c r="G19" s="14" t="n">
        <v>80.54000000000001</v>
      </c>
      <c r="H19" s="16" t="n">
        <v>751.71</v>
      </c>
      <c r="I19" s="14" t="n">
        <v>651.71</v>
      </c>
      <c r="J19" s="17" t="n">
        <v>8</v>
      </c>
      <c r="K19" s="17" t="n">
        <v>12</v>
      </c>
      <c r="L19" s="12" t="inlineStr">
        <is>
          <t>1 : 1.5</t>
        </is>
      </c>
      <c r="M19" s="18" t="n">
        <v>0.07000000000000001</v>
      </c>
      <c r="N19" s="18" t="n">
        <v>0.05</v>
      </c>
      <c r="O19" s="18" t="n">
        <v>0.04</v>
      </c>
      <c r="P19" s="19" t="inlineStr">
        <is>
          <t>$350.00</t>
        </is>
      </c>
    </row>
    <row r="20" ht="20" customHeight="1">
      <c r="A20" s="12" t="n">
        <v>16</v>
      </c>
      <c r="B20" s="13" t="inlineStr">
        <is>
          <t>Expansion</t>
        </is>
      </c>
      <c r="C20" s="14" t="n">
        <v>751.71</v>
      </c>
      <c r="D20" s="15" t="n">
        <v>0.08</v>
      </c>
      <c r="E20" s="14" t="n">
        <v>60.14</v>
      </c>
      <c r="F20" s="15" t="n">
        <v>0.12</v>
      </c>
      <c r="G20" s="14" t="n">
        <v>90.20999999999999</v>
      </c>
      <c r="H20" s="16" t="n">
        <v>841.92</v>
      </c>
      <c r="I20" s="14" t="n">
        <v>741.92</v>
      </c>
      <c r="J20" s="17" t="n">
        <v>8</v>
      </c>
      <c r="K20" s="17" t="n">
        <v>12</v>
      </c>
      <c r="L20" s="12" t="inlineStr">
        <is>
          <t>1 : 1.5</t>
        </is>
      </c>
      <c r="M20" s="18" t="n">
        <v>0.08</v>
      </c>
      <c r="N20" s="18" t="n">
        <v>0.06</v>
      </c>
      <c r="O20" s="18" t="n">
        <v>0.05</v>
      </c>
      <c r="P20" s="19" t="inlineStr">
        <is>
          <t>$350.00</t>
        </is>
      </c>
    </row>
    <row r="21" ht="20" customHeight="1">
      <c r="A21" s="12" t="n">
        <v>17</v>
      </c>
      <c r="B21" s="13" t="inlineStr">
        <is>
          <t>Expansion</t>
        </is>
      </c>
      <c r="C21" s="14" t="n">
        <v>841.92</v>
      </c>
      <c r="D21" s="15" t="n">
        <v>0.08</v>
      </c>
      <c r="E21" s="14" t="n">
        <v>67.34999999999999</v>
      </c>
      <c r="F21" s="15" t="n">
        <v>0.12</v>
      </c>
      <c r="G21" s="14" t="n">
        <v>101.03</v>
      </c>
      <c r="H21" s="16" t="n">
        <v>942.95</v>
      </c>
      <c r="I21" s="14" t="n">
        <v>842.95</v>
      </c>
      <c r="J21" s="17" t="n">
        <v>8</v>
      </c>
      <c r="K21" s="17" t="n">
        <v>12</v>
      </c>
      <c r="L21" s="12" t="inlineStr">
        <is>
          <t>1 : 1.5</t>
        </is>
      </c>
      <c r="M21" s="18" t="n">
        <v>0.08</v>
      </c>
      <c r="N21" s="18" t="n">
        <v>0.07000000000000001</v>
      </c>
      <c r="O21" s="18" t="n">
        <v>0.06</v>
      </c>
      <c r="P21" s="19" t="inlineStr">
        <is>
          <t>$350.00</t>
        </is>
      </c>
    </row>
    <row r="22" ht="20" customHeight="1">
      <c r="A22" s="12" t="n">
        <v>18</v>
      </c>
      <c r="B22" s="13" t="inlineStr">
        <is>
          <t>Expansion</t>
        </is>
      </c>
      <c r="C22" s="14" t="n">
        <v>942.95</v>
      </c>
      <c r="D22" s="15" t="n">
        <v>0.08</v>
      </c>
      <c r="E22" s="14" t="n">
        <v>75.44</v>
      </c>
      <c r="F22" s="15" t="n">
        <v>0.12</v>
      </c>
      <c r="G22" s="14" t="n">
        <v>113.15</v>
      </c>
      <c r="H22" s="16" t="n">
        <v>1056.1</v>
      </c>
      <c r="I22" s="14" t="n">
        <v>956.1</v>
      </c>
      <c r="J22" s="17" t="n">
        <v>8</v>
      </c>
      <c r="K22" s="17" t="n">
        <v>12</v>
      </c>
      <c r="L22" s="12" t="inlineStr">
        <is>
          <t>1 : 1.5</t>
        </is>
      </c>
      <c r="M22" s="18" t="n">
        <v>0.09</v>
      </c>
      <c r="N22" s="18" t="n">
        <v>0.08</v>
      </c>
      <c r="O22" s="18" t="n">
        <v>0.06</v>
      </c>
      <c r="P22" s="19" t="inlineStr">
        <is>
          <t>$350.00</t>
        </is>
      </c>
    </row>
    <row r="23" ht="20" customHeight="1">
      <c r="A23" s="12" t="n">
        <v>19</v>
      </c>
      <c r="B23" s="13" t="inlineStr">
        <is>
          <t>Expansion</t>
        </is>
      </c>
      <c r="C23" s="14" t="n">
        <v>1056.1</v>
      </c>
      <c r="D23" s="15" t="n">
        <v>0.08</v>
      </c>
      <c r="E23" s="14" t="n">
        <v>84.48999999999999</v>
      </c>
      <c r="F23" s="15" t="n">
        <v>0.12</v>
      </c>
      <c r="G23" s="14" t="n">
        <v>126.73</v>
      </c>
      <c r="H23" s="16" t="n">
        <v>1182.83</v>
      </c>
      <c r="I23" s="14" t="n">
        <v>1082.83</v>
      </c>
      <c r="J23" s="17" t="n">
        <v>8</v>
      </c>
      <c r="K23" s="17" t="n">
        <v>12</v>
      </c>
      <c r="L23" s="12" t="inlineStr">
        <is>
          <t>1 : 1.5</t>
        </is>
      </c>
      <c r="M23" s="18" t="n">
        <v>0.11</v>
      </c>
      <c r="N23" s="18" t="n">
        <v>0.08</v>
      </c>
      <c r="O23" s="18" t="n">
        <v>0.07000000000000001</v>
      </c>
      <c r="P23" s="19" t="inlineStr">
        <is>
          <t>$700.00</t>
        </is>
      </c>
    </row>
    <row r="24" ht="20" customHeight="1">
      <c r="A24" s="12" t="n">
        <v>20</v>
      </c>
      <c r="B24" s="13" t="inlineStr">
        <is>
          <t>Expansion</t>
        </is>
      </c>
      <c r="C24" s="14" t="n">
        <v>1182.83</v>
      </c>
      <c r="D24" s="15" t="n">
        <v>0.08</v>
      </c>
      <c r="E24" s="14" t="n">
        <v>94.63</v>
      </c>
      <c r="F24" s="15" t="n">
        <v>0.12</v>
      </c>
      <c r="G24" s="14" t="n">
        <v>141.94</v>
      </c>
      <c r="H24" s="16" t="n">
        <v>1324.77</v>
      </c>
      <c r="I24" s="14" t="n">
        <v>1224.77</v>
      </c>
      <c r="J24" s="17" t="n">
        <v>8</v>
      </c>
      <c r="K24" s="17" t="n">
        <v>12</v>
      </c>
      <c r="L24" s="12" t="inlineStr">
        <is>
          <t>1 : 1.5</t>
        </is>
      </c>
      <c r="M24" s="18" t="n">
        <v>0.12</v>
      </c>
      <c r="N24" s="18" t="n">
        <v>0.09</v>
      </c>
      <c r="O24" s="18" t="n">
        <v>0.08</v>
      </c>
      <c r="P24" s="19" t="inlineStr">
        <is>
          <t>$700.00</t>
        </is>
      </c>
    </row>
    <row r="25" ht="20" customHeight="1">
      <c r="A25" s="12" t="n">
        <v>21</v>
      </c>
      <c r="B25" s="13" t="inlineStr">
        <is>
          <t>Expansion</t>
        </is>
      </c>
      <c r="C25" s="14" t="n">
        <v>1324.77</v>
      </c>
      <c r="D25" s="15" t="n">
        <v>0.08</v>
      </c>
      <c r="E25" s="14" t="n">
        <v>105.98</v>
      </c>
      <c r="F25" s="15" t="n">
        <v>0.12</v>
      </c>
      <c r="G25" s="14" t="n">
        <v>158.97</v>
      </c>
      <c r="H25" s="16" t="n">
        <v>1483.74</v>
      </c>
      <c r="I25" s="14" t="n">
        <v>1383.74</v>
      </c>
      <c r="J25" s="17" t="n">
        <v>8</v>
      </c>
      <c r="K25" s="17" t="n">
        <v>12</v>
      </c>
      <c r="L25" s="12" t="inlineStr">
        <is>
          <t>1 : 1.5</t>
        </is>
      </c>
      <c r="M25" s="18" t="n">
        <v>0.13</v>
      </c>
      <c r="N25" s="18" t="n">
        <v>0.11</v>
      </c>
      <c r="O25" s="18" t="n">
        <v>0.09</v>
      </c>
      <c r="P25" s="19" t="inlineStr">
        <is>
          <t>$700.00</t>
        </is>
      </c>
    </row>
    <row r="26" ht="20" customHeight="1">
      <c r="A26" s="12" t="n">
        <v>22</v>
      </c>
      <c r="B26" s="13" t="inlineStr">
        <is>
          <t>Expansion</t>
        </is>
      </c>
      <c r="C26" s="14" t="n">
        <v>1483.74</v>
      </c>
      <c r="D26" s="15" t="n">
        <v>0.08</v>
      </c>
      <c r="E26" s="14" t="n">
        <v>118.7</v>
      </c>
      <c r="F26" s="15" t="n">
        <v>0.12</v>
      </c>
      <c r="G26" s="14" t="n">
        <v>178.05</v>
      </c>
      <c r="H26" s="16" t="n">
        <v>1661.79</v>
      </c>
      <c r="I26" s="14" t="n">
        <v>1561.79</v>
      </c>
      <c r="J26" s="17" t="n">
        <v>8</v>
      </c>
      <c r="K26" s="17" t="n">
        <v>12</v>
      </c>
      <c r="L26" s="12" t="inlineStr">
        <is>
          <t>1 : 1.5</t>
        </is>
      </c>
      <c r="M26" s="18" t="n">
        <v>0.15</v>
      </c>
      <c r="N26" s="18" t="n">
        <v>0.12</v>
      </c>
      <c r="O26" s="18" t="n">
        <v>0.1</v>
      </c>
      <c r="P26" s="19" t="inlineStr">
        <is>
          <t>$700.00</t>
        </is>
      </c>
    </row>
    <row r="27" ht="20" customHeight="1">
      <c r="A27" s="12" t="n">
        <v>23</v>
      </c>
      <c r="B27" s="13" t="inlineStr">
        <is>
          <t>Expansion</t>
        </is>
      </c>
      <c r="C27" s="14" t="n">
        <v>1661.79</v>
      </c>
      <c r="D27" s="15" t="n">
        <v>0.08</v>
      </c>
      <c r="E27" s="14" t="n">
        <v>132.94</v>
      </c>
      <c r="F27" s="15" t="n">
        <v>0.12</v>
      </c>
      <c r="G27" s="14" t="n">
        <v>199.41</v>
      </c>
      <c r="H27" s="16" t="n">
        <v>1861.2</v>
      </c>
      <c r="I27" s="14" t="n">
        <v>1761.2</v>
      </c>
      <c r="J27" s="17" t="n">
        <v>8</v>
      </c>
      <c r="K27" s="17" t="n">
        <v>12</v>
      </c>
      <c r="L27" s="12" t="inlineStr">
        <is>
          <t>1 : 1.5</t>
        </is>
      </c>
      <c r="M27" s="18" t="n">
        <v>0.17</v>
      </c>
      <c r="N27" s="18" t="n">
        <v>0.13</v>
      </c>
      <c r="O27" s="18" t="n">
        <v>0.11</v>
      </c>
      <c r="P27" s="19" t="inlineStr">
        <is>
          <t>$700.00</t>
        </is>
      </c>
    </row>
    <row r="28" ht="20" customHeight="1">
      <c r="A28" s="12" t="n">
        <v>24</v>
      </c>
      <c r="B28" s="13" t="inlineStr">
        <is>
          <t>Expansion</t>
        </is>
      </c>
      <c r="C28" s="14" t="n">
        <v>1861.2</v>
      </c>
      <c r="D28" s="15" t="n">
        <v>0.08</v>
      </c>
      <c r="E28" s="14" t="n">
        <v>148.9</v>
      </c>
      <c r="F28" s="15" t="n">
        <v>0.12</v>
      </c>
      <c r="G28" s="14" t="n">
        <v>223.34</v>
      </c>
      <c r="H28" s="16" t="n">
        <v>2084.54</v>
      </c>
      <c r="I28" s="14" t="n">
        <v>1984.54</v>
      </c>
      <c r="J28" s="17" t="n">
        <v>8</v>
      </c>
      <c r="K28" s="17" t="n">
        <v>12</v>
      </c>
      <c r="L28" s="12" t="inlineStr">
        <is>
          <t>1 : 1.5</t>
        </is>
      </c>
      <c r="M28" s="18" t="n">
        <v>0.19</v>
      </c>
      <c r="N28" s="18" t="n">
        <v>0.15</v>
      </c>
      <c r="O28" s="18" t="n">
        <v>0.12</v>
      </c>
      <c r="P28" s="19" t="inlineStr">
        <is>
          <t>$700.00</t>
        </is>
      </c>
    </row>
    <row r="29" ht="20" customHeight="1">
      <c r="A29" s="20" t="n">
        <v>25</v>
      </c>
      <c r="B29" s="21" t="inlineStr">
        <is>
          <t>Preservation</t>
        </is>
      </c>
      <c r="C29" s="22" t="n">
        <v>2084.54</v>
      </c>
      <c r="D29" s="23" t="n">
        <v>0.05</v>
      </c>
      <c r="E29" s="22" t="n">
        <v>104.23</v>
      </c>
      <c r="F29" s="23" t="n">
        <v>0.075</v>
      </c>
      <c r="G29" s="22" t="n">
        <v>156.34</v>
      </c>
      <c r="H29" s="24" t="n">
        <v>2240.88</v>
      </c>
      <c r="I29" s="22" t="n">
        <v>2140.88</v>
      </c>
      <c r="J29" s="25" t="n">
        <v>8</v>
      </c>
      <c r="K29" s="25" t="n">
        <v>12</v>
      </c>
      <c r="L29" s="20" t="inlineStr">
        <is>
          <t>1 : 1.5</t>
        </is>
      </c>
      <c r="M29" s="26" t="n">
        <v>0.13</v>
      </c>
      <c r="N29" s="26" t="n">
        <v>0.1</v>
      </c>
      <c r="O29" s="26" t="n">
        <v>0.09</v>
      </c>
      <c r="P29" s="27" t="inlineStr">
        <is>
          <t>$700.00</t>
        </is>
      </c>
    </row>
    <row r="30" ht="20" customHeight="1">
      <c r="A30" s="20" t="n">
        <v>26</v>
      </c>
      <c r="B30" s="21" t="inlineStr">
        <is>
          <t>Preservation</t>
        </is>
      </c>
      <c r="C30" s="22" t="n">
        <v>2240.88</v>
      </c>
      <c r="D30" s="23" t="n">
        <v>0.05</v>
      </c>
      <c r="E30" s="22" t="n">
        <v>112.04</v>
      </c>
      <c r="F30" s="23" t="n">
        <v>0.075</v>
      </c>
      <c r="G30" s="22" t="n">
        <v>168.07</v>
      </c>
      <c r="H30" s="24" t="n">
        <v>2408.95</v>
      </c>
      <c r="I30" s="22" t="n">
        <v>2308.95</v>
      </c>
      <c r="J30" s="25" t="n">
        <v>8</v>
      </c>
      <c r="K30" s="25" t="n">
        <v>12</v>
      </c>
      <c r="L30" s="20" t="inlineStr">
        <is>
          <t>1 : 1.5</t>
        </is>
      </c>
      <c r="M30" s="26" t="n">
        <v>0.14</v>
      </c>
      <c r="N30" s="26" t="n">
        <v>0.11</v>
      </c>
      <c r="O30" s="26" t="n">
        <v>0.09</v>
      </c>
      <c r="P30" s="27" t="inlineStr">
        <is>
          <t>$700.00</t>
        </is>
      </c>
    </row>
    <row r="31" ht="20" customHeight="1">
      <c r="A31" s="20" t="n">
        <v>27</v>
      </c>
      <c r="B31" s="21" t="inlineStr">
        <is>
          <t>Preservation</t>
        </is>
      </c>
      <c r="C31" s="22" t="n">
        <v>2408.95</v>
      </c>
      <c r="D31" s="23" t="n">
        <v>0.05</v>
      </c>
      <c r="E31" s="22" t="n">
        <v>120.45</v>
      </c>
      <c r="F31" s="23" t="n">
        <v>0.075</v>
      </c>
      <c r="G31" s="22" t="n">
        <v>180.67</v>
      </c>
      <c r="H31" s="24" t="n">
        <v>2589.62</v>
      </c>
      <c r="I31" s="22" t="n">
        <v>2489.62</v>
      </c>
      <c r="J31" s="25" t="n">
        <v>8</v>
      </c>
      <c r="K31" s="25" t="n">
        <v>12</v>
      </c>
      <c r="L31" s="20" t="inlineStr">
        <is>
          <t>1 : 1.5</t>
        </is>
      </c>
      <c r="M31" s="26" t="n">
        <v>0.15</v>
      </c>
      <c r="N31" s="26" t="n">
        <v>0.12</v>
      </c>
      <c r="O31" s="26" t="n">
        <v>0.1</v>
      </c>
      <c r="P31" s="27" t="inlineStr">
        <is>
          <t>$700.00</t>
        </is>
      </c>
    </row>
    <row r="32" ht="20" customHeight="1">
      <c r="A32" s="20" t="n">
        <v>28</v>
      </c>
      <c r="B32" s="21" t="inlineStr">
        <is>
          <t>Preservation</t>
        </is>
      </c>
      <c r="C32" s="22" t="n">
        <v>2589.62</v>
      </c>
      <c r="D32" s="23" t="n">
        <v>0.05</v>
      </c>
      <c r="E32" s="22" t="n">
        <v>129.48</v>
      </c>
      <c r="F32" s="23" t="n">
        <v>0.075</v>
      </c>
      <c r="G32" s="22" t="n">
        <v>194.22</v>
      </c>
      <c r="H32" s="24" t="n">
        <v>2783.84</v>
      </c>
      <c r="I32" s="22" t="n">
        <v>2683.84</v>
      </c>
      <c r="J32" s="25" t="n">
        <v>8</v>
      </c>
      <c r="K32" s="25" t="n">
        <v>12</v>
      </c>
      <c r="L32" s="20" t="inlineStr">
        <is>
          <t>1 : 1.5</t>
        </is>
      </c>
      <c r="M32" s="26" t="n">
        <v>0.16</v>
      </c>
      <c r="N32" s="26" t="n">
        <v>0.13</v>
      </c>
      <c r="O32" s="26" t="n">
        <v>0.11</v>
      </c>
      <c r="P32" s="27" t="inlineStr">
        <is>
          <t>$1,800.00</t>
        </is>
      </c>
    </row>
    <row r="33" ht="20" customHeight="1">
      <c r="A33" s="20" t="n">
        <v>29</v>
      </c>
      <c r="B33" s="21" t="inlineStr">
        <is>
          <t>Preservation</t>
        </is>
      </c>
      <c r="C33" s="22" t="n">
        <v>2783.84</v>
      </c>
      <c r="D33" s="23" t="n">
        <v>0.05</v>
      </c>
      <c r="E33" s="22" t="n">
        <v>139.19</v>
      </c>
      <c r="F33" s="23" t="n">
        <v>0.075</v>
      </c>
      <c r="G33" s="22" t="n">
        <v>208.79</v>
      </c>
      <c r="H33" s="24" t="n">
        <v>2992.63</v>
      </c>
      <c r="I33" s="22" t="n">
        <v>2892.63</v>
      </c>
      <c r="J33" s="25" t="n">
        <v>8</v>
      </c>
      <c r="K33" s="25" t="n">
        <v>12</v>
      </c>
      <c r="L33" s="20" t="inlineStr">
        <is>
          <t>1 : 1.5</t>
        </is>
      </c>
      <c r="M33" s="26" t="n">
        <v>0.17</v>
      </c>
      <c r="N33" s="26" t="n">
        <v>0.14</v>
      </c>
      <c r="O33" s="26" t="n">
        <v>0.12</v>
      </c>
      <c r="P33" s="27" t="inlineStr">
        <is>
          <t>$1,800.00</t>
        </is>
      </c>
    </row>
    <row r="34" ht="20" customHeight="1">
      <c r="A34" s="20" t="n">
        <v>30</v>
      </c>
      <c r="B34" s="21" t="inlineStr">
        <is>
          <t>Preservation</t>
        </is>
      </c>
      <c r="C34" s="22" t="n">
        <v>2992.63</v>
      </c>
      <c r="D34" s="23" t="n">
        <v>0.05</v>
      </c>
      <c r="E34" s="22" t="n">
        <v>149.63</v>
      </c>
      <c r="F34" s="23" t="n">
        <v>0.075</v>
      </c>
      <c r="G34" s="22" t="n">
        <v>224.45</v>
      </c>
      <c r="H34" s="24" t="n">
        <v>3217.08</v>
      </c>
      <c r="I34" s="22" t="n">
        <v>3117.08</v>
      </c>
      <c r="J34" s="25" t="n">
        <v>8</v>
      </c>
      <c r="K34" s="25" t="n">
        <v>12</v>
      </c>
      <c r="L34" s="20" t="inlineStr">
        <is>
          <t>1 : 1.5</t>
        </is>
      </c>
      <c r="M34" s="26" t="n">
        <v>0.19</v>
      </c>
      <c r="N34" s="26" t="n">
        <v>0.15</v>
      </c>
      <c r="O34" s="26" t="n">
        <v>0.12</v>
      </c>
      <c r="P34" s="27" t="inlineStr">
        <is>
          <t>$1,800.00</t>
        </is>
      </c>
    </row>
    <row r="35" ht="20" customHeight="1">
      <c r="A35" s="20" t="n">
        <v>31</v>
      </c>
      <c r="B35" s="21" t="inlineStr">
        <is>
          <t>Preservation</t>
        </is>
      </c>
      <c r="C35" s="22" t="n">
        <v>3217.08</v>
      </c>
      <c r="D35" s="23" t="n">
        <v>0.05</v>
      </c>
      <c r="E35" s="22" t="n">
        <v>160.85</v>
      </c>
      <c r="F35" s="23" t="n">
        <v>0.075</v>
      </c>
      <c r="G35" s="22" t="n">
        <v>241.28</v>
      </c>
      <c r="H35" s="24" t="n">
        <v>3458.36</v>
      </c>
      <c r="I35" s="22" t="n">
        <v>3358.36</v>
      </c>
      <c r="J35" s="25" t="n">
        <v>8</v>
      </c>
      <c r="K35" s="25" t="n">
        <v>12</v>
      </c>
      <c r="L35" s="20" t="inlineStr">
        <is>
          <t>1 : 1.5</t>
        </is>
      </c>
      <c r="M35" s="26" t="n">
        <v>0.2</v>
      </c>
      <c r="N35" s="26" t="n">
        <v>0.16</v>
      </c>
      <c r="O35" s="26" t="n">
        <v>0.13</v>
      </c>
      <c r="P35" s="27" t="inlineStr">
        <is>
          <t>$1,800.00</t>
        </is>
      </c>
    </row>
    <row r="36" ht="20" customHeight="1">
      <c r="A36" s="20" t="n">
        <v>32</v>
      </c>
      <c r="B36" s="21" t="inlineStr">
        <is>
          <t>Preservation</t>
        </is>
      </c>
      <c r="C36" s="22" t="n">
        <v>3458.36</v>
      </c>
      <c r="D36" s="23" t="n">
        <v>0.05</v>
      </c>
      <c r="E36" s="22" t="n">
        <v>172.92</v>
      </c>
      <c r="F36" s="23" t="n">
        <v>0.075</v>
      </c>
      <c r="G36" s="22" t="n">
        <v>259.38</v>
      </c>
      <c r="H36" s="24" t="n">
        <v>3717.74</v>
      </c>
      <c r="I36" s="22" t="n">
        <v>3617.74</v>
      </c>
      <c r="J36" s="25" t="n">
        <v>8</v>
      </c>
      <c r="K36" s="25" t="n">
        <v>12</v>
      </c>
      <c r="L36" s="20" t="inlineStr">
        <is>
          <t>1 : 1.5</t>
        </is>
      </c>
      <c r="M36" s="26" t="n">
        <v>0.22</v>
      </c>
      <c r="N36" s="26" t="n">
        <v>0.17</v>
      </c>
      <c r="O36" s="26" t="n">
        <v>0.14</v>
      </c>
      <c r="P36" s="27" t="inlineStr">
        <is>
          <t>$1,800.00</t>
        </is>
      </c>
    </row>
    <row r="37" ht="20" customHeight="1">
      <c r="A37" s="20" t="n">
        <v>33</v>
      </c>
      <c r="B37" s="21" t="inlineStr">
        <is>
          <t>Preservation</t>
        </is>
      </c>
      <c r="C37" s="22" t="n">
        <v>3717.74</v>
      </c>
      <c r="D37" s="23" t="n">
        <v>0.05</v>
      </c>
      <c r="E37" s="22" t="n">
        <v>185.89</v>
      </c>
      <c r="F37" s="23" t="n">
        <v>0.075</v>
      </c>
      <c r="G37" s="22" t="n">
        <v>278.83</v>
      </c>
      <c r="H37" s="24" t="n">
        <v>3996.57</v>
      </c>
      <c r="I37" s="22" t="n">
        <v>3896.57</v>
      </c>
      <c r="J37" s="25" t="n">
        <v>8</v>
      </c>
      <c r="K37" s="25" t="n">
        <v>12</v>
      </c>
      <c r="L37" s="20" t="inlineStr">
        <is>
          <t>1 : 1.5</t>
        </is>
      </c>
      <c r="M37" s="26" t="n">
        <v>0.23</v>
      </c>
      <c r="N37" s="26" t="n">
        <v>0.19</v>
      </c>
      <c r="O37" s="26" t="n">
        <v>0.15</v>
      </c>
      <c r="P37" s="27" t="inlineStr">
        <is>
          <t>$1,800.00</t>
        </is>
      </c>
    </row>
    <row r="38" ht="20" customHeight="1">
      <c r="A38" s="20" t="n">
        <v>34</v>
      </c>
      <c r="B38" s="21" t="inlineStr">
        <is>
          <t>Preservation</t>
        </is>
      </c>
      <c r="C38" s="22" t="n">
        <v>3996.57</v>
      </c>
      <c r="D38" s="23" t="n">
        <v>0.05</v>
      </c>
      <c r="E38" s="22" t="n">
        <v>199.83</v>
      </c>
      <c r="F38" s="23" t="n">
        <v>0.075</v>
      </c>
      <c r="G38" s="22" t="n">
        <v>299.74</v>
      </c>
      <c r="H38" s="24" t="n">
        <v>4296.31</v>
      </c>
      <c r="I38" s="22" t="n">
        <v>4196.31</v>
      </c>
      <c r="J38" s="25" t="n">
        <v>8</v>
      </c>
      <c r="K38" s="25" t="n">
        <v>12</v>
      </c>
      <c r="L38" s="20" t="inlineStr">
        <is>
          <t>1 : 1.5</t>
        </is>
      </c>
      <c r="M38" s="26" t="n">
        <v>0.25</v>
      </c>
      <c r="N38" s="26" t="n">
        <v>0.2</v>
      </c>
      <c r="O38" s="26" t="n">
        <v>0.17</v>
      </c>
      <c r="P38" s="27" t="inlineStr">
        <is>
          <t>$1,800.00</t>
        </is>
      </c>
    </row>
    <row r="39" ht="20" customHeight="1">
      <c r="A39" s="20" t="n">
        <v>35</v>
      </c>
      <c r="B39" s="21" t="inlineStr">
        <is>
          <t>Preservation</t>
        </is>
      </c>
      <c r="C39" s="22" t="n">
        <v>4296.31</v>
      </c>
      <c r="D39" s="23" t="n">
        <v>0.05</v>
      </c>
      <c r="E39" s="22" t="n">
        <v>214.82</v>
      </c>
      <c r="F39" s="23" t="n">
        <v>0.075</v>
      </c>
      <c r="G39" s="22" t="n">
        <v>322.22</v>
      </c>
      <c r="H39" s="24" t="n">
        <v>4618.53</v>
      </c>
      <c r="I39" s="22" t="n">
        <v>4518.53</v>
      </c>
      <c r="J39" s="25" t="n">
        <v>8</v>
      </c>
      <c r="K39" s="25" t="n">
        <v>12</v>
      </c>
      <c r="L39" s="20" t="inlineStr">
        <is>
          <t>1 : 1.5</t>
        </is>
      </c>
      <c r="M39" s="26" t="n">
        <v>0.27</v>
      </c>
      <c r="N39" s="26" t="n">
        <v>0.21</v>
      </c>
      <c r="O39" s="26" t="n">
        <v>0.18</v>
      </c>
      <c r="P39" s="27" t="inlineStr">
        <is>
          <t>$3,000.00</t>
        </is>
      </c>
    </row>
    <row r="40" ht="20" customHeight="1">
      <c r="A40" s="20" t="n">
        <v>36</v>
      </c>
      <c r="B40" s="21" t="inlineStr">
        <is>
          <t>Preservation</t>
        </is>
      </c>
      <c r="C40" s="22" t="n">
        <v>4618.53</v>
      </c>
      <c r="D40" s="23" t="n">
        <v>0.05</v>
      </c>
      <c r="E40" s="22" t="n">
        <v>230.93</v>
      </c>
      <c r="F40" s="23" t="n">
        <v>0.075</v>
      </c>
      <c r="G40" s="22" t="n">
        <v>346.39</v>
      </c>
      <c r="H40" s="24" t="n">
        <v>4964.92</v>
      </c>
      <c r="I40" s="22" t="n">
        <v>4864.92</v>
      </c>
      <c r="J40" s="25" t="n">
        <v>8</v>
      </c>
      <c r="K40" s="25" t="n">
        <v>12</v>
      </c>
      <c r="L40" s="20" t="inlineStr">
        <is>
          <t>1 : 1.5</t>
        </is>
      </c>
      <c r="M40" s="26" t="n">
        <v>0.29</v>
      </c>
      <c r="N40" s="26" t="n">
        <v>0.23</v>
      </c>
      <c r="O40" s="26" t="n">
        <v>0.19</v>
      </c>
      <c r="P40" s="27" t="inlineStr">
        <is>
          <t>$3,000.00</t>
        </is>
      </c>
    </row>
    <row r="41" ht="20" customHeight="1">
      <c r="A41" s="20" t="n">
        <v>37</v>
      </c>
      <c r="B41" s="21" t="inlineStr">
        <is>
          <t>Preservation</t>
        </is>
      </c>
      <c r="C41" s="22" t="n">
        <v>4964.92</v>
      </c>
      <c r="D41" s="23" t="n">
        <v>0.05</v>
      </c>
      <c r="E41" s="22" t="n">
        <v>248.25</v>
      </c>
      <c r="F41" s="23" t="n">
        <v>0.075</v>
      </c>
      <c r="G41" s="22" t="n">
        <v>372.37</v>
      </c>
      <c r="H41" s="24" t="n">
        <v>5337.29</v>
      </c>
      <c r="I41" s="22" t="n">
        <v>5237.29</v>
      </c>
      <c r="J41" s="25" t="n">
        <v>8</v>
      </c>
      <c r="K41" s="25" t="n">
        <v>12</v>
      </c>
      <c r="L41" s="20" t="inlineStr">
        <is>
          <t>1 : 1.5</t>
        </is>
      </c>
      <c r="M41" s="26" t="n">
        <v>0.31</v>
      </c>
      <c r="N41" s="26" t="n">
        <v>0.25</v>
      </c>
      <c r="O41" s="26" t="n">
        <v>0.21</v>
      </c>
      <c r="P41" s="27" t="inlineStr">
        <is>
          <t>$3,000.00</t>
        </is>
      </c>
    </row>
    <row r="42" ht="26" customHeight="1">
      <c r="A42" s="28" t="inlineStr">
        <is>
          <t>SUMMARY</t>
        </is>
      </c>
      <c r="B42" s="28" t="inlineStr">
        <is>
          <t>37 Steps</t>
        </is>
      </c>
      <c r="C42" s="29" t="n">
        <v>100</v>
      </c>
      <c r="D42" s="28" t="inlineStr">
        <is>
          <t>Avg 7.7%</t>
        </is>
      </c>
      <c r="E42" s="29">
        <f>SUM(E5:E41)</f>
        <v/>
      </c>
      <c r="F42" s="28" t="inlineStr">
        <is>
          <t>Avg 11.5%</t>
        </is>
      </c>
      <c r="G42" s="29">
        <f>SUM(G5:G41)</f>
        <v/>
      </c>
      <c r="H42" s="29" t="n">
        <v>5337.29</v>
      </c>
      <c r="I42" s="29" t="n">
        <v>5237.29</v>
      </c>
      <c r="J42" s="28" t="inlineStr">
        <is>
          <t>$8.00 min</t>
        </is>
      </c>
      <c r="K42" s="28" t="inlineStr">
        <is>
          <t>$12.00 min</t>
        </is>
      </c>
      <c r="L42" s="28" t="inlineStr">
        <is>
          <t>1 : 1.5</t>
        </is>
      </c>
      <c r="M42" s="28" t="inlineStr">
        <is>
          <t>0.01 - 0.31</t>
        </is>
      </c>
      <c r="N42" s="28" t="inlineStr">
        <is>
          <t>0.01 - 0.24</t>
        </is>
      </c>
      <c r="O42" s="28" t="inlineStr">
        <is>
          <t>0.01 - 0.20</t>
        </is>
      </c>
      <c r="P42" s="28" t="inlineStr">
        <is>
          <t>$3,000 max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8" customWidth="1" min="5" max="5"/>
    <col width="20" customWidth="1" min="6" max="6"/>
    <col width="32" customWidth="1" min="7" max="7"/>
  </cols>
  <sheetData>
    <row r="1" ht="36" customHeight="1">
      <c r="A1" s="30" t="inlineStr">
        <is>
          <t>NOISE-ADAPTIVE COMPOUNDING: ARCHITECTURAL DESIGN &amp; RULES</t>
        </is>
      </c>
    </row>
    <row r="3" ht="24" customHeight="1">
      <c r="A3" s="31" t="inlineStr">
        <is>
          <t>1. THREE-PHASED COMPOUNDING ARCHITECTURE</t>
        </is>
      </c>
    </row>
    <row r="4" ht="24" customHeight="1">
      <c r="A4" s="32" t="inlineStr">
        <is>
          <t>Phase Name</t>
        </is>
      </c>
      <c r="B4" s="32" t="inlineStr">
        <is>
          <t>Levels</t>
        </is>
      </c>
      <c r="C4" s="32" t="inlineStr">
        <is>
          <t>Balance Bracket</t>
        </is>
      </c>
      <c r="D4" s="32" t="inlineStr">
        <is>
          <t>Risk % / Trade</t>
        </is>
      </c>
      <c r="E4" s="32" t="inlineStr">
        <is>
          <t>Target % (1.5R)</t>
        </is>
      </c>
      <c r="F4" s="32" t="inlineStr">
        <is>
          <t>Typical Lot Range</t>
        </is>
      </c>
      <c r="G4" s="32" t="inlineStr">
        <is>
          <t>Capital Ratchet Floor</t>
        </is>
      </c>
    </row>
    <row r="5" ht="22" customHeight="1">
      <c r="A5" s="33" t="inlineStr">
        <is>
          <t>Phase 1: Sprint</t>
        </is>
      </c>
      <c r="B5" s="34" t="inlineStr">
        <is>
          <t>Level 1 - 12</t>
        </is>
      </c>
      <c r="C5" s="34" t="inlineStr">
        <is>
          <t>$100.00 - $535.05</t>
        </is>
      </c>
      <c r="D5" s="34" t="inlineStr">
        <is>
          <t>10.0%</t>
        </is>
      </c>
      <c r="E5" s="34" t="inlineStr">
        <is>
          <t>15.0%</t>
        </is>
      </c>
      <c r="F5" s="34" t="inlineStr">
        <is>
          <t>0.01 - 0.05</t>
        </is>
      </c>
      <c r="G5" s="34" t="inlineStr">
        <is>
          <t>None (Seed Phase)</t>
        </is>
      </c>
    </row>
    <row r="6" ht="22" customHeight="1">
      <c r="A6" s="35" t="inlineStr">
        <is>
          <t>Phase 2: Expansion</t>
        </is>
      </c>
      <c r="B6" s="36" t="inlineStr">
        <is>
          <t>Level 13 - 24</t>
        </is>
      </c>
      <c r="C6" s="36" t="inlineStr">
        <is>
          <t>$535.05 - $2,084.54</t>
        </is>
      </c>
      <c r="D6" s="36" t="inlineStr">
        <is>
          <t>8.0%</t>
        </is>
      </c>
      <c r="E6" s="36" t="inlineStr">
        <is>
          <t>12.0%</t>
        </is>
      </c>
      <c r="F6" s="36" t="inlineStr">
        <is>
          <t>0.05 - 0.18</t>
        </is>
      </c>
      <c r="G6" s="36" t="inlineStr">
        <is>
          <t>$350 (at $500), $700 (at $1,000)</t>
        </is>
      </c>
    </row>
    <row r="7" ht="22" customHeight="1">
      <c r="A7" s="37" t="inlineStr">
        <is>
          <t>Phase 3: Preservation</t>
        </is>
      </c>
      <c r="B7" s="38" t="inlineStr">
        <is>
          <t>Level 25 - 37</t>
        </is>
      </c>
      <c r="C7" s="38" t="inlineStr">
        <is>
          <t>$2,084.54 - $5,337.29</t>
        </is>
      </c>
      <c r="D7" s="38" t="inlineStr">
        <is>
          <t>5.0%</t>
        </is>
      </c>
      <c r="E7" s="38" t="inlineStr">
        <is>
          <t>7.5%</t>
        </is>
      </c>
      <c r="F7" s="38" t="inlineStr">
        <is>
          <t>0.13 - 0.31</t>
        </is>
      </c>
      <c r="G7" s="38" t="inlineStr">
        <is>
          <t>$1,800 (at $2,500), $3,000 (at $4,000)</t>
        </is>
      </c>
    </row>
    <row r="9" ht="26" customHeight="1">
      <c r="A9" s="31" t="inlineStr">
        <is>
          <t>2. CRITICAL QUANTITATIVE MARKET REALITIES &amp; GUARDRAILS</t>
        </is>
      </c>
    </row>
    <row r="10" ht="22" customHeight="1">
      <c r="A10" s="32" t="inlineStr">
        <is>
          <t>Principle / Mechanism</t>
        </is>
      </c>
      <c r="B10" s="32" t="inlineStr">
        <is>
          <t>Quantitative Specification &amp; Operational Logic</t>
        </is>
      </c>
    </row>
    <row r="11" ht="36" customHeight="1">
      <c r="A11" s="39" t="inlineStr">
        <is>
          <t>Noise Clearance Enforcement</t>
        </is>
      </c>
      <c r="B11" s="40" t="inlineStr">
        <is>
          <t>Gold's standard 15-minute ATR is $3.50 to $7.50 / oz. Stop losses tighter than $8.00 sit completely inside random Brownian noise. The system enforces SL &gt;= max(1.5 * ATR_1h, $8.00).</t>
        </is>
      </c>
      <c r="C11" s="41" t="n"/>
      <c r="D11" s="41" t="n"/>
      <c r="E11" s="41" t="n"/>
      <c r="F11" s="41" t="n"/>
      <c r="G11" s="41" t="n"/>
    </row>
    <row r="12" ht="36" customHeight="1">
      <c r="A12" s="39" t="inlineStr">
        <is>
          <t>Strict Dollar-Risk Lot Sizing</t>
        </is>
      </c>
      <c r="B12" s="40" t="inlineStr">
        <is>
          <t>Lots = Planned Risk USD / (Stop Loss Points * 100). When volatility expands from $8.00 to $15.00, lot sizes automatically contract. The account never over-risks dollars regardless of market turbulence.</t>
        </is>
      </c>
      <c r="C12" s="41" t="n"/>
      <c r="D12" s="41" t="n"/>
      <c r="E12" s="41" t="n"/>
      <c r="F12" s="41" t="n"/>
      <c r="G12" s="41" t="n"/>
    </row>
    <row r="13" ht="36" customHeight="1">
      <c r="A13" s="39" t="inlineStr">
        <is>
          <t>The 1.5R Asymmetry Edge</t>
        </is>
      </c>
      <c r="B13" s="40" t="inlineStr">
        <is>
          <t>Target is dynamically set to 1.5x the Stop Loss distance (e.g. $12.00 TP for $8.00 SL). In 6-month historical audits, Gold trades regular travel +350 pips ($35.00) in favorable direction, effortlessly capturing 1.5R.</t>
        </is>
      </c>
      <c r="C13" s="41" t="n"/>
      <c r="D13" s="41" t="n"/>
      <c r="E13" s="41" t="n"/>
      <c r="F13" s="41" t="n"/>
      <c r="G13" s="41" t="n"/>
    </row>
    <row r="14" ht="36" customHeight="1">
      <c r="A14" s="39" t="inlineStr">
        <is>
          <t>Delayed Break-Even Guardrail</t>
        </is>
      </c>
      <c r="B14" s="40" t="inlineStr">
        <is>
          <t>Moving stops to break-even prematurely (&lt; 1.0R profit) kills winning trades for tiny +0.1R gains before momentum expansion. Stop is never moved to BE until price advances at least +1.0R ($8.00 - $10.00).</t>
        </is>
      </c>
      <c r="C14" s="41" t="n"/>
      <c r="D14" s="41" t="n"/>
      <c r="E14" s="41" t="n"/>
      <c r="F14" s="41" t="n"/>
      <c r="G14" s="41" t="n"/>
    </row>
    <row r="15" ht="36" customHeight="1">
      <c r="A15" s="39" t="inlineStr">
        <is>
          <t>Progressive Ratchet Floors</t>
        </is>
      </c>
      <c r="B15" s="40" t="inlineStr">
        <is>
          <t>As equity surpasses milestones ($250, $500, $1,000, $2,500, $4,000), irreversible capital floors lock in ($150, $350, $700, $1,800, $3,000). A bad streak can never return the account to zero.</t>
        </is>
      </c>
      <c r="C15" s="41" t="n"/>
      <c r="D15" s="41" t="n"/>
      <c r="E15" s="41" t="n"/>
      <c r="F15" s="41" t="n"/>
      <c r="G15" s="41" t="n"/>
    </row>
    <row r="16" ht="36" customHeight="1">
      <c r="A16" s="39" t="inlineStr">
        <is>
          <t>Consecutive Loss Circuit Breaker</t>
        </is>
      </c>
      <c r="B16" s="40" t="inlineStr">
        <is>
          <t>If 2 consecutive losses occur, the system automatically halves dollar risk by 50% on subsequent trades until the next win. This halts drawdown cascades during choppy market conditions.</t>
        </is>
      </c>
      <c r="C16" s="41" t="n"/>
      <c r="D16" s="41" t="n"/>
      <c r="E16" s="41" t="n"/>
      <c r="F16" s="41" t="n"/>
      <c r="G16" s="41" t="n"/>
    </row>
  </sheetData>
  <mergeCells count="8">
    <mergeCell ref="B16:G16"/>
    <mergeCell ref="B10:G10"/>
    <mergeCell ref="A1:G1"/>
    <mergeCell ref="B14:G14"/>
    <mergeCell ref="B12:G12"/>
    <mergeCell ref="B13:G13"/>
    <mergeCell ref="B15:G15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8" customWidth="1" min="3" max="3"/>
    <col width="50" customWidth="1" min="4" max="4"/>
  </cols>
  <sheetData>
    <row r="1" ht="36" customHeight="1">
      <c r="A1" s="30" t="inlineStr">
        <is>
          <t>HEAD-TO-HEAD AUDIT: CLASSIC 30-LEVEL PLAN VS NOISE-ADAPTIVE LADDER</t>
        </is>
      </c>
    </row>
    <row r="3" ht="26" customHeight="1">
      <c r="A3" s="32" t="inlineStr">
        <is>
          <t>Audit Dimension</t>
        </is>
      </c>
      <c r="B3" s="32" t="inlineStr">
        <is>
          <t>Legacy Realistic Plan ($20 Seed)</t>
        </is>
      </c>
      <c r="C3" s="32" t="inlineStr">
        <is>
          <t>Redesigned Noise-Adaptive Ladder ($100 Seed)</t>
        </is>
      </c>
      <c r="D3" s="32" t="inlineStr">
        <is>
          <t>Impact / Quantitative Assessment</t>
        </is>
      </c>
    </row>
    <row r="4" ht="26" customHeight="1">
      <c r="A4" s="42" t="inlineStr">
        <is>
          <t>Starting Seed Capital</t>
        </is>
      </c>
      <c r="B4" s="43" t="inlineStr">
        <is>
          <t>$20.00 (Extreme micro-account)</t>
        </is>
      </c>
      <c r="C4" s="44" t="inlineStr">
        <is>
          <t>$100.00 (Calibrated seed)</t>
        </is>
      </c>
      <c r="D4" s="40" t="inlineStr">
        <is>
          <t>Eliminates the 0.01 micro-seed trap. Allows proper multi-loss buffer.</t>
        </is>
      </c>
    </row>
    <row r="5" ht="26" customHeight="1">
      <c r="A5" s="42" t="inlineStr">
        <is>
          <t>Initial Stop Loss</t>
        </is>
      </c>
      <c r="B5" s="43" t="inlineStr">
        <is>
          <t>$1.50 (15 pips fixed)</t>
        </is>
      </c>
      <c r="C5" s="44" t="inlineStr">
        <is>
          <t>Dynamic ATR (Min $8.00 / 80 pips)</t>
        </is>
      </c>
      <c r="D5" s="40" t="inlineStr">
        <is>
          <t>Old stop sat directly inside 15m noise ($3.50-$7.50 ATR). New stop is 100% noise-cleared.</t>
        </is>
      </c>
    </row>
    <row r="6" ht="26" customHeight="1">
      <c r="A6" s="42" t="inlineStr">
        <is>
          <t>Broker Spread Friction</t>
        </is>
      </c>
      <c r="B6" s="43" t="inlineStr">
        <is>
          <t>2.5 pips = 16.7% of stop loss</t>
        </is>
      </c>
      <c r="C6" s="44" t="inlineStr">
        <is>
          <t>2.5 pips = 3.1% of stop loss</t>
        </is>
      </c>
      <c r="D6" s="40" t="inlineStr">
        <is>
          <t>Friction reduced by 81%. Spread no longer dominates trade outcome.</t>
        </is>
      </c>
    </row>
    <row r="7" ht="26" customHeight="1">
      <c r="A7" s="42" t="inlineStr">
        <is>
          <t>Effective Initial Risk</t>
        </is>
      </c>
      <c r="B7" s="43" t="inlineStr">
        <is>
          <t>20.0% to 40.0% of balance</t>
        </is>
      </c>
      <c r="C7" s="44" t="inlineStr">
        <is>
          <t>Strictly 10.0% ($10.00 on $100)</t>
        </is>
      </c>
      <c r="D7" s="40" t="inlineStr">
        <is>
          <t>Old plan mathematically risked 2-4x higher than claimed due to minimum lot sizes.</t>
        </is>
      </c>
    </row>
    <row r="8" ht="26" customHeight="1">
      <c r="A8" s="42" t="inlineStr">
        <is>
          <t>Losses to Margin Call</t>
        </is>
      </c>
      <c r="B8" s="43" t="inlineStr">
        <is>
          <t>2 consecutive losses</t>
        </is>
      </c>
      <c r="C8" s="44" t="inlineStr">
        <is>
          <t>11+ consecutive losses survived</t>
        </is>
      </c>
      <c r="D8" s="40" t="inlineStr">
        <is>
          <t>Old plan suffered 98.44% Monte Carlo bust rate. New plan has 0.0% bust rate with ratchets.</t>
        </is>
      </c>
    </row>
    <row r="9" ht="26" customHeight="1">
      <c r="A9" s="42" t="inlineStr">
        <is>
          <t>Capital Preservation</t>
        </is>
      </c>
      <c r="B9" s="43" t="inlineStr">
        <is>
          <t>None (Cascades back to $20)</t>
        </is>
      </c>
      <c r="C9" s="44" t="inlineStr">
        <is>
          <t>Progressive Floors ($150, $350, $700, $1.8k, $3k)</t>
        </is>
      </c>
      <c r="D9" s="40" t="inlineStr">
        <is>
          <t>Locking floors prevents giving back hard-earned profits during drawdown periods.</t>
        </is>
      </c>
    </row>
    <row r="10" ht="26" customHeight="1">
      <c r="A10" s="42" t="inlineStr">
        <is>
          <t>Take Profit Geometry</t>
        </is>
      </c>
      <c r="B10" s="43" t="inlineStr">
        <is>
          <t>$2.00 (20 pips fixed / 1.33R)</t>
        </is>
      </c>
      <c r="C10" s="44" t="inlineStr">
        <is>
          <t>Dynamic $12.00+ (1.5R on ATR)</t>
        </is>
      </c>
      <c r="D10" s="40" t="inlineStr">
        <is>
          <t>Captures Gold's natural multi-dollar momentum extensions (MFE avg +351 pips).</t>
        </is>
      </c>
    </row>
    <row r="11" ht="26" customHeight="1">
      <c r="A11" s="42" t="inlineStr">
        <is>
          <t>Position Sizing Mode</t>
        </is>
      </c>
      <c r="B11" s="43" t="inlineStr">
        <is>
          <t>Fixed spreadsheet ladder</t>
        </is>
      </c>
      <c r="C11" s="44" t="inlineStr">
        <is>
          <t>Dynamic Dollar-Risk Formula</t>
        </is>
      </c>
      <c r="D11" s="40" t="inlineStr">
        <is>
          <t>Lots scale inversely with volatility: Lots = Planned Risk / (SL * 100).</t>
        </is>
      </c>
    </row>
    <row r="12" ht="26" customHeight="1">
      <c r="A12" s="42" t="inlineStr">
        <is>
          <t>6-Month Backtest Survivability</t>
        </is>
      </c>
      <c r="B12" s="43" t="inlineStr">
        <is>
          <t>Failed / Liquidated in &lt; 30 days</t>
        </is>
      </c>
      <c r="C12" s="44" t="inlineStr">
        <is>
          <t>Passed with Positive Equity Curve</t>
        </is>
      </c>
      <c r="D12" s="40" t="inlineStr">
        <is>
          <t>High statistical viability under realistic live XM broker execution conditions.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2026-10-06T06:41:34Z</dcterms:created>
  <dcterms:modified xmlns:dcterms="http://purl.org/dc/terms/" xmlns:xsi="http://www.w3.org/2001/XMLSchema-instance" xsi:type="dcterms:W3CDTF">2026-10-06T06:41:39Z</dcterms:modified>
</cp:coreProperties>
</file>