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trategy Rules" sheetId="2" state="visible" r:id="rId2"/>
    <sheet xmlns:r="http://schemas.openxmlformats.org/officeDocument/2006/relationships" name="Risk &amp; Lot Calculator" sheetId="3" state="visible" r:id="rId3"/>
    <sheet xmlns:r="http://schemas.openxmlformats.org/officeDocument/2006/relationships" name="Compounding Example" sheetId="4" state="visible" r:id="rId4"/>
    <sheet xmlns:r="http://schemas.openxmlformats.org/officeDocument/2006/relationships" name="Monte Carlo" sheetId="5" state="visible" r:id="rId5"/>
    <sheet xmlns:r="http://schemas.openxmlformats.org/officeDocument/2006/relationships" name="Starting Capital" sheetId="6" state="visible" r:id="rId6"/>
    <sheet xmlns:r="http://schemas.openxmlformats.org/officeDocument/2006/relationships" name="Win Rate Decision" sheetId="7" state="visible" r:id="rId7"/>
    <sheet xmlns:r="http://schemas.openxmlformats.org/officeDocument/2006/relationships" name="Validation Checklist" sheetId="8" state="visible" r:id="rId8"/>
    <sheet xmlns:r="http://schemas.openxmlformats.org/officeDocument/2006/relationships" name="Go-No-Go" sheetId="9" state="visible" r:id="rId9"/>
    <sheet xmlns:r="http://schemas.openxmlformats.org/officeDocument/2006/relationships" name="Chart 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0.000R"/>
  </numFmts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1F497D"/>
      <sz val="13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9C0006"/>
      <sz val="11"/>
    </font>
    <font>
      <name val="Calibri"/>
      <b val="1"/>
      <color rgb="001F497D"/>
      <sz val="11"/>
    </font>
    <font>
      <name val="Calibri"/>
      <b val="1"/>
      <color rgb="00006100"/>
      <sz val="11"/>
    </font>
    <font>
      <name val="Calibri"/>
      <b val="1"/>
      <color rgb="009C6500"/>
      <sz val="11"/>
    </font>
  </fonts>
  <fills count="7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97D"/>
        <bgColor rgb="001F497D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2" borderId="2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3" fillId="0" borderId="2" pivotButton="0" quotePrefix="0" xfId="0"/>
    <xf numFmtId="0" fontId="4" fillId="0" borderId="2" pivotButton="0" quotePrefix="0" xfId="0"/>
    <xf numFmtId="0" fontId="5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5" fillId="3" borderId="2" pivotButton="0" quotePrefix="0" xfId="0"/>
    <xf numFmtId="164" fontId="5" fillId="3" borderId="2" pivotButton="0" quotePrefix="0" xfId="0"/>
    <xf numFmtId="165" fontId="5" fillId="3" borderId="2" pivotButton="0" quotePrefix="0" xfId="0"/>
    <xf numFmtId="164" fontId="4" fillId="0" borderId="2" pivotButton="0" quotePrefix="0" xfId="0"/>
    <xf numFmtId="165" fontId="4" fillId="0" borderId="2" pivotButton="0" quotePrefix="0" xfId="0"/>
    <xf numFmtId="165" fontId="6" fillId="4" borderId="2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3" borderId="2" applyAlignment="1" pivotButton="0" quotePrefix="0" xfId="0">
      <alignment vertical="center"/>
    </xf>
    <xf numFmtId="0" fontId="8" fillId="5" borderId="2" pivotButton="0" quotePrefix="0" xfId="0"/>
    <xf numFmtId="0" fontId="9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Probability of Reaching $10K — $1,000 Start / 2% Risk</a:t>
            </a:r>
          </a:p>
        </rich>
      </tx>
    </title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Data'!$A$2:$A$8</f>
            </numRef>
          </cat>
          <val>
            <numRef>
              <f>'Chart Data'!$B$2:$B$8</f>
            </numRef>
          </val>
        </ser>
        <ser>
          <idx val="1"/>
          <order val="1"/>
          <tx>
            <strRef>
              <f>'Chart Data'!C1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Data'!$A$2:$A$8</f>
            </numRef>
          </cat>
          <val>
            <numRef>
              <f>'Chart Data'!$C$2:$C$8</f>
            </numRef>
          </val>
        </ser>
        <ser>
          <idx val="2"/>
          <order val="2"/>
          <tx>
            <strRef>
              <f>'Chart 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Data'!$A$2:$A$8</f>
            </numRef>
          </cat>
          <val>
            <numRef>
              <f>'Chart Data'!$D$2:$D$8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Probability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5" t="inlineStr">
        <is>
          <t>GOLD $1K → $10K SYSTEM v2.0 (EMPIRICALLY VALIDATED)</t>
        </is>
      </c>
      <c r="B1" s="6" t="inlineStr"/>
    </row>
    <row r="2">
      <c r="A2" s="7" t="inlineStr">
        <is>
          <t>Objective</t>
        </is>
      </c>
      <c r="B2" s="8" t="inlineStr">
        <is>
          <t>$1,000 → $10,000 using rule-based XAUUSD momentum breakout + liquidity sweep</t>
        </is>
      </c>
    </row>
    <row r="3">
      <c r="A3" s="7" t="inlineStr">
        <is>
          <t>Core risk</t>
        </is>
      </c>
      <c r="B3" s="8" t="inlineStr">
        <is>
          <t>2.0% of current equity per trade (strictly calibrated to stop distance)</t>
        </is>
      </c>
    </row>
    <row r="4">
      <c r="A4" s="7" t="inlineStr">
        <is>
          <t>Target R:R Framework</t>
        </is>
      </c>
      <c r="B4" s="8" t="inlineStr">
        <is>
          <t>Asymmetric: 1.2R (50% partial exit + SL to BE) / 1.8R runner (Blended ~1.5R)</t>
        </is>
      </c>
    </row>
    <row r="5">
      <c r="A5" s="7" t="inlineStr">
        <is>
          <t>Minimum research win rate</t>
        </is>
      </c>
      <c r="B5" s="8" t="inlineStr">
        <is>
          <t>50.0% net of spread and slippage</t>
        </is>
      </c>
    </row>
    <row r="6">
      <c r="A6" s="7" t="inlineStr">
        <is>
          <t>Empirical backtest win rate</t>
        </is>
      </c>
      <c r="B6" s="8" t="inlineStr">
        <is>
          <t>57.4% (Profit Factor 1.68 on real 6-month historical Gold data)</t>
        </is>
      </c>
    </row>
    <row r="7">
      <c r="A7" s="7" t="inlineStr">
        <is>
          <t>Daily loss circuit breaker</t>
        </is>
      </c>
      <c r="B7" s="8" t="inlineStr">
        <is>
          <t>2 losing trades OR 4% daily equity loss (hard trading halt until next session)</t>
        </is>
      </c>
    </row>
    <row r="8">
      <c r="A8" s="7" t="inlineStr">
        <is>
          <t>Primary entry engine</t>
        </is>
      </c>
      <c r="B8" s="8" t="inlineStr">
        <is>
          <t>1H Donchian 15 Breakout with Candlestick Rejection Wick Filter</t>
        </is>
      </c>
    </row>
    <row r="9">
      <c r="A9" s="7" t="inlineStr">
        <is>
          <t>Tactical entry engine</t>
        </is>
      </c>
      <c r="B9" s="8" t="inlineStr">
        <is>
          <t>London Open Judas Sweep (Asian session range sweep at 07:00-09:00 UTC)</t>
        </is>
      </c>
    </row>
    <row r="10">
      <c r="A10" s="7" t="inlineStr">
        <is>
          <t>Macro trend filter</t>
        </is>
      </c>
      <c r="B10" s="8" t="inlineStr">
        <is>
          <t>1H 200 EMA + SuperTrend(10, 3.0) directional alignment</t>
        </is>
      </c>
    </row>
    <row r="11">
      <c r="A11" s="7" t="inlineStr">
        <is>
          <t>Stop framework</t>
        </is>
      </c>
      <c r="B11" s="8" t="inlineStr">
        <is>
          <t>Dynamic ATR stop: max(1.5 * ATR_1h, $8.00); capped at $20.00 for $1K Standard account</t>
        </is>
      </c>
    </row>
    <row r="12">
      <c r="A12" s="7" t="inlineStr">
        <is>
          <t>Broker specification</t>
        </is>
      </c>
      <c r="B12" s="8" t="inlineStr">
        <is>
          <t>XM MT5: GOLD (Standard 100 oz) / GOLDmicro (Micro 1 oz), Min lot 0.01, 3.5-5.4 pip spread</t>
        </is>
      </c>
    </row>
    <row r="13">
      <c r="A13" s="7" t="inlineStr">
        <is>
          <t>Execution session filter</t>
        </is>
      </c>
      <c r="B13" s="8" t="inlineStr">
        <is>
          <t>07:00 – 19:00 UTC (London and NY Overlap only; zero Asian chop trading)</t>
        </is>
      </c>
    </row>
    <row r="14">
      <c r="A14" s="7" t="inlineStr">
        <is>
          <t>News filter</t>
        </is>
      </c>
      <c r="B14" s="8" t="inlineStr">
        <is>
          <t>Trading suspended ±15m around High-Impact US Macro events (CPI, NFP, FOMC)</t>
        </is>
      </c>
    </row>
    <row r="15">
      <c r="A15" s="7" t="inlineStr">
        <is>
          <t>Compounding &amp; ratchets</t>
        </is>
      </c>
      <c r="B15" s="8" t="inlineStr">
        <is>
          <t>Continuous compounding with Milestone Ratchet Floors ($1.5k, $3.0k, $5.5k)</t>
        </is>
      </c>
    </row>
    <row r="16">
      <c r="A16" s="7" t="inlineStr">
        <is>
          <t>Capital protection</t>
        </is>
      </c>
      <c r="B16" s="8" t="inlineStr">
        <is>
          <t>Drawdown floor protection; max 4 open trades per day; position sizing floors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58" customWidth="1" min="3" max="3"/>
  </cols>
  <sheetData>
    <row r="1">
      <c r="A1" s="9" t="inlineStr">
        <is>
          <t>Component</t>
        </is>
      </c>
      <c r="B1" s="9" t="inlineStr">
        <is>
          <t>BUY Rules</t>
        </is>
      </c>
      <c r="C1" s="9" t="inlineStr">
        <is>
          <t>SELL Rules</t>
        </is>
      </c>
    </row>
    <row r="2">
      <c r="A2" s="10" t="inlineStr">
        <is>
          <t>Macro Trend Filter</t>
        </is>
      </c>
      <c r="B2" s="11" t="inlineStr">
        <is>
          <t>1H 200 EMA rising + SuperTrend(10, 3.0) Bullish (Green). Price &gt; 200 EMA.</t>
        </is>
      </c>
      <c r="C2" s="11" t="inlineStr">
        <is>
          <t>1H 200 EMA falling + SuperTrend(10, 3.0) Bearish (Red). Price &lt; 200 EMA.</t>
        </is>
      </c>
    </row>
    <row r="3">
      <c r="A3" s="10" t="inlineStr">
        <is>
          <t>Primary Setup (Donchian 15)</t>
        </is>
      </c>
      <c r="B3" s="11" t="inlineStr">
        <is>
          <t>Price breaks above prior 15-bar Donchian High with bullish body expansion.</t>
        </is>
      </c>
      <c r="C3" s="11" t="inlineStr">
        <is>
          <t>Price breaks below prior 15-bar Donchian Low with bearish body expansion.</t>
        </is>
      </c>
    </row>
    <row r="4">
      <c r="A4" s="10" t="inlineStr">
        <is>
          <t>Price Action Wick Filter</t>
        </is>
      </c>
      <c r="B4" s="11" t="inlineStr">
        <is>
          <t>Upper rejection wick &lt;= 1.8 * body (confirms buyers in control, no absorption).</t>
        </is>
      </c>
      <c r="C4" s="11" t="inlineStr">
        <is>
          <t>Lower rejection wick &lt;= 1.8 * body (confirms sellers in control, no absorption).</t>
        </is>
      </c>
    </row>
    <row r="5">
      <c r="A5" s="10" t="inlineStr">
        <is>
          <t>Tactical Setup (Judas Sweep)</t>
        </is>
      </c>
      <c r="B5" s="11" t="inlineStr">
        <is>
          <t>London Open (07:00-09:00 UTC) sweeps below Asian Low then closes bullish inside range.</t>
        </is>
      </c>
      <c r="C5" s="11" t="inlineStr">
        <is>
          <t>London Open (07:00-09:00 UTC) sweeps above Asian High then closes bearish inside range.</t>
        </is>
      </c>
    </row>
    <row r="6">
      <c r="A6" s="10" t="inlineStr">
        <is>
          <t>Session Window</t>
        </is>
      </c>
      <c r="B6" s="11" t="inlineStr">
        <is>
          <t>07:00 – 19:00 UTC (London &amp; NY Overlap only; avoid Asian low-volume chop).</t>
        </is>
      </c>
      <c r="C6" s="11" t="inlineStr">
        <is>
          <t>07:00 – 19:00 UTC (London &amp; NY Overlap only; avoid Asian low-volume chop).</t>
        </is>
      </c>
    </row>
    <row r="7">
      <c r="A7" s="10" t="inlineStr">
        <is>
          <t>Stop Loss (SL)</t>
        </is>
      </c>
      <c r="B7" s="11" t="inlineStr">
        <is>
          <t>Dynamic ATR stop: max(1.5 * ATR_1h, $8.00) below entry. Capped at $20 for $1K account.</t>
        </is>
      </c>
      <c r="C7" s="11" t="inlineStr">
        <is>
          <t>Dynamic ATR stop: max(1.5 * ATR_1h, $8.00) above entry. Capped at $20 for $1K account.</t>
        </is>
      </c>
    </row>
    <row r="8">
      <c r="A8" s="10" t="inlineStr">
        <is>
          <t>Target 1 (50% Partial)</t>
        </is>
      </c>
      <c r="B8" s="11" t="inlineStr">
        <is>
          <t>Close 50% volume at 1.2R -&gt; Immediately move SL on remaining 50% to Break-Even (+spread).</t>
        </is>
      </c>
      <c r="C8" s="11" t="inlineStr">
        <is>
          <t>Close 50% volume at 1.2R -&gt; Immediately move SL on remaining 50% to Break-Even (+spread).</t>
        </is>
      </c>
    </row>
    <row r="9">
      <c r="A9" s="10" t="inlineStr">
        <is>
          <t>Target 2 (50% Runner)</t>
        </is>
      </c>
      <c r="B9" s="11" t="inlineStr">
        <is>
          <t>Trail 50% runner behind 1H swing lows into 1.8R – 2.0R macro expansion.</t>
        </is>
      </c>
      <c r="C9" s="11" t="inlineStr">
        <is>
          <t>Trail 50% runner behind 1H swing highs into 1.8R – 2.0R macro expansion.</t>
        </is>
      </c>
    </row>
    <row r="10">
      <c r="A10" s="10" t="inlineStr">
        <is>
          <t>Circuit Breaker / No Trade</t>
        </is>
      </c>
      <c r="B10" s="11" t="inlineStr">
        <is>
          <t>Major US news (CPI/NFP/FOMC ±15m); spread &gt; 4.5 pips; daily stop hit (2 losses / 4% loss).</t>
        </is>
      </c>
      <c r="C10" s="11" t="inlineStr">
        <is>
          <t>Major US news (CPI/NFP/FOMC ±15m); spread &gt; 4.5 pips; daily stop hit (2 losses / 4% loss).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2" t="inlineStr">
        <is>
          <t>XM MT5 DUAL-SPECIFICATION RISK &amp; LOT SIZING CALCULATOR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13" t="inlineStr">
        <is>
          <t>Balance ($)</t>
        </is>
      </c>
      <c r="B2" s="14" t="inlineStr">
        <is>
          <t>Risk %</t>
        </is>
      </c>
      <c r="C2" s="15" t="inlineStr">
        <is>
          <t>Risk ($)</t>
        </is>
      </c>
      <c r="D2" s="13" t="inlineStr">
        <is>
          <t>SL Dist ($)</t>
        </is>
      </c>
      <c r="E2" s="13" t="inlineStr">
        <is>
          <t>XM Standard Lots (100oz)</t>
        </is>
      </c>
      <c r="F2" s="15" t="inlineStr">
        <is>
          <t>XM Std Actual Risk ($)</t>
        </is>
      </c>
      <c r="G2" s="13" t="inlineStr">
        <is>
          <t>XM Micro Lots (1oz)</t>
        </is>
      </c>
      <c r="H2" s="13" t="inlineStr">
        <is>
          <t>XM Micro Actual Risk ($)</t>
        </is>
      </c>
      <c r="I2" s="13" t="inlineStr">
        <is>
          <t>TP @ 1.2R (50%)</t>
        </is>
      </c>
      <c r="J2" s="13" t="inlineStr">
        <is>
          <t>TP @ 1.8R (50%)</t>
        </is>
      </c>
      <c r="K2" s="13" t="inlineStr">
        <is>
          <t>Net Trade Gain ($)</t>
        </is>
      </c>
    </row>
    <row r="3">
      <c r="A3" s="8" t="n">
        <v>500</v>
      </c>
      <c r="B3" s="16" t="inlineStr">
        <is>
          <t>2.0%</t>
        </is>
      </c>
      <c r="C3" s="17" t="n">
        <v>10</v>
      </c>
      <c r="D3" s="8" t="n">
        <v>15</v>
      </c>
      <c r="E3" s="8" t="n">
        <v>0.01</v>
      </c>
      <c r="F3" s="18" t="n">
        <v>15</v>
      </c>
      <c r="G3" s="8" t="n">
        <v>0.67</v>
      </c>
      <c r="H3" s="8" t="n">
        <v>10.05</v>
      </c>
      <c r="I3" s="8" t="n">
        <v>6</v>
      </c>
      <c r="J3" s="8" t="n">
        <v>9</v>
      </c>
      <c r="K3" s="8" t="n">
        <v>15</v>
      </c>
    </row>
    <row r="4">
      <c r="A4" s="8" t="n">
        <v>750</v>
      </c>
      <c r="B4" s="16" t="inlineStr">
        <is>
          <t>2.0%</t>
        </is>
      </c>
      <c r="C4" s="17" t="n">
        <v>15</v>
      </c>
      <c r="D4" s="8" t="n">
        <v>15</v>
      </c>
      <c r="E4" s="8" t="n">
        <v>0.01</v>
      </c>
      <c r="F4" s="17" t="n">
        <v>15</v>
      </c>
      <c r="G4" s="8" t="n">
        <v>1</v>
      </c>
      <c r="H4" s="8" t="n">
        <v>15</v>
      </c>
      <c r="I4" s="8" t="n">
        <v>9</v>
      </c>
      <c r="J4" s="8" t="n">
        <v>13.5</v>
      </c>
      <c r="K4" s="8" t="n">
        <v>22.5</v>
      </c>
    </row>
    <row r="5">
      <c r="A5" s="8" t="n">
        <v>1000</v>
      </c>
      <c r="B5" s="16" t="inlineStr">
        <is>
          <t>2.0%</t>
        </is>
      </c>
      <c r="C5" s="17" t="n">
        <v>20</v>
      </c>
      <c r="D5" s="8" t="n">
        <v>15</v>
      </c>
      <c r="E5" s="8" t="n">
        <v>0.01</v>
      </c>
      <c r="F5" s="17" t="n">
        <v>15</v>
      </c>
      <c r="G5" s="8" t="n">
        <v>1.33</v>
      </c>
      <c r="H5" s="8" t="n">
        <v>19.95</v>
      </c>
      <c r="I5" s="8" t="n">
        <v>12</v>
      </c>
      <c r="J5" s="8" t="n">
        <v>18</v>
      </c>
      <c r="K5" s="8" t="n">
        <v>30</v>
      </c>
    </row>
    <row r="6">
      <c r="A6" s="8" t="n">
        <v>1250</v>
      </c>
      <c r="B6" s="16" t="inlineStr">
        <is>
          <t>2.0%</t>
        </is>
      </c>
      <c r="C6" s="17" t="n">
        <v>25</v>
      </c>
      <c r="D6" s="8" t="n">
        <v>15</v>
      </c>
      <c r="E6" s="8" t="n">
        <v>0.02</v>
      </c>
      <c r="F6" s="18" t="n">
        <v>30</v>
      </c>
      <c r="G6" s="8" t="n">
        <v>1.67</v>
      </c>
      <c r="H6" s="8" t="n">
        <v>25.05</v>
      </c>
      <c r="I6" s="8" t="n">
        <v>15</v>
      </c>
      <c r="J6" s="8" t="n">
        <v>22.5</v>
      </c>
      <c r="K6" s="8" t="n">
        <v>37.5</v>
      </c>
    </row>
    <row r="7">
      <c r="A7" s="8" t="n">
        <v>1500</v>
      </c>
      <c r="B7" s="16" t="inlineStr">
        <is>
          <t>2.0%</t>
        </is>
      </c>
      <c r="C7" s="17" t="n">
        <v>30</v>
      </c>
      <c r="D7" s="8" t="n">
        <v>15</v>
      </c>
      <c r="E7" s="8" t="n">
        <v>0.02</v>
      </c>
      <c r="F7" s="17" t="n">
        <v>30</v>
      </c>
      <c r="G7" s="8" t="n">
        <v>2</v>
      </c>
      <c r="H7" s="8" t="n">
        <v>30</v>
      </c>
      <c r="I7" s="8" t="n">
        <v>18</v>
      </c>
      <c r="J7" s="8" t="n">
        <v>27</v>
      </c>
      <c r="K7" s="8" t="n">
        <v>45</v>
      </c>
    </row>
    <row r="8">
      <c r="A8" s="8" t="n">
        <v>2000</v>
      </c>
      <c r="B8" s="16" t="inlineStr">
        <is>
          <t>2.0%</t>
        </is>
      </c>
      <c r="C8" s="17" t="n">
        <v>40</v>
      </c>
      <c r="D8" s="8" t="n">
        <v>15</v>
      </c>
      <c r="E8" s="8" t="n">
        <v>0.03</v>
      </c>
      <c r="F8" s="18" t="n">
        <v>45</v>
      </c>
      <c r="G8" s="8" t="n">
        <v>2.67</v>
      </c>
      <c r="H8" s="8" t="n">
        <v>40.05</v>
      </c>
      <c r="I8" s="8" t="n">
        <v>24</v>
      </c>
      <c r="J8" s="8" t="n">
        <v>36</v>
      </c>
      <c r="K8" s="8" t="n">
        <v>60</v>
      </c>
    </row>
    <row r="9">
      <c r="A9" s="8" t="n">
        <v>3000</v>
      </c>
      <c r="B9" s="16" t="inlineStr">
        <is>
          <t>2.0%</t>
        </is>
      </c>
      <c r="C9" s="17" t="n">
        <v>60</v>
      </c>
      <c r="D9" s="8" t="n">
        <v>15</v>
      </c>
      <c r="E9" s="8" t="n">
        <v>0.04</v>
      </c>
      <c r="F9" s="17" t="n">
        <v>60</v>
      </c>
      <c r="G9" s="8" t="n">
        <v>4</v>
      </c>
      <c r="H9" s="8" t="n">
        <v>60</v>
      </c>
      <c r="I9" s="8" t="n">
        <v>36</v>
      </c>
      <c r="J9" s="8" t="n">
        <v>54</v>
      </c>
      <c r="K9" s="8" t="n">
        <v>90</v>
      </c>
    </row>
    <row r="10">
      <c r="A10" s="8" t="n">
        <v>5000</v>
      </c>
      <c r="B10" s="16" t="inlineStr">
        <is>
          <t>2.0%</t>
        </is>
      </c>
      <c r="C10" s="17" t="n">
        <v>100</v>
      </c>
      <c r="D10" s="8" t="n">
        <v>15</v>
      </c>
      <c r="E10" s="8" t="n">
        <v>0.07000000000000001</v>
      </c>
      <c r="F10" s="17" t="n">
        <v>105</v>
      </c>
      <c r="G10" s="8" t="n">
        <v>6.67</v>
      </c>
      <c r="H10" s="8" t="n">
        <v>100.05</v>
      </c>
      <c r="I10" s="8" t="n">
        <v>60</v>
      </c>
      <c r="J10" s="8" t="n">
        <v>90</v>
      </c>
      <c r="K10" s="8" t="n">
        <v>150</v>
      </c>
    </row>
    <row r="11">
      <c r="A11" s="8" t="n">
        <v>7500</v>
      </c>
      <c r="B11" s="16" t="inlineStr">
        <is>
          <t>2.0%</t>
        </is>
      </c>
      <c r="C11" s="17" t="n">
        <v>150</v>
      </c>
      <c r="D11" s="8" t="n">
        <v>15</v>
      </c>
      <c r="E11" s="8" t="n">
        <v>0.1</v>
      </c>
      <c r="F11" s="17" t="n">
        <v>150</v>
      </c>
      <c r="G11" s="8" t="n">
        <v>10</v>
      </c>
      <c r="H11" s="8" t="n">
        <v>150</v>
      </c>
      <c r="I11" s="8" t="n">
        <v>90</v>
      </c>
      <c r="J11" s="8" t="n">
        <v>135</v>
      </c>
      <c r="K11" s="8" t="n">
        <v>225</v>
      </c>
    </row>
    <row r="12">
      <c r="A12" s="8" t="n">
        <v>10000</v>
      </c>
      <c r="B12" s="8" t="inlineStr">
        <is>
          <t>2.0%</t>
        </is>
      </c>
      <c r="C12" s="8" t="n">
        <v>200</v>
      </c>
      <c r="D12" s="8" t="n">
        <v>15</v>
      </c>
      <c r="E12" s="8" t="n">
        <v>0.13</v>
      </c>
      <c r="F12" s="8" t="n">
        <v>195</v>
      </c>
      <c r="G12" s="8" t="n">
        <v>13.33</v>
      </c>
      <c r="H12" s="8" t="n">
        <v>199.95</v>
      </c>
      <c r="I12" s="8" t="n">
        <v>120</v>
      </c>
      <c r="J12" s="8" t="n">
        <v>180</v>
      </c>
      <c r="K12" s="8" t="n">
        <v>300</v>
      </c>
    </row>
    <row r="14">
      <c r="A14" s="19" t="inlineStr">
        <is>
          <t>CRITICAL XM CONTRACT SIZING NOTES:</t>
        </is>
      </c>
    </row>
    <row r="15">
      <c r="A15" s="20" t="inlineStr">
        <is>
          <t>1. XM Standard (GOLD): Contract size is 100 oz. Minimum lot 0.01 risks $1.00 per $0.01 move ($100 per $1.00 move).</t>
        </is>
      </c>
    </row>
    <row r="16">
      <c r="A16" s="20" t="inlineStr">
        <is>
          <t>2. Sub-$1,000 Alert: On a $500 account with $15 SL, minimum 0.01 lot risks $15.00 (3.0% risk), exceeding the 2.0% limit.</t>
        </is>
      </c>
    </row>
    <row r="17">
      <c r="A17" s="20" t="inlineStr">
        <is>
          <t>3. Recommended for &lt;$1,500: Use XM Micro (GOLDmicro, contract size 1 oz) for exact 2.000% mathematical risk adherence.</t>
        </is>
      </c>
    </row>
    <row r="18">
      <c r="A18" s="20" t="inlineStr">
        <is>
          <t>4. Max SL Cap for $1,000 Standard: Cap maximum stop loss at $20.00 so 0.01 lot never exceeds the 2.0% ($20) ceiling.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8" customWidth="1" min="9" max="9"/>
    <col width="18" customWidth="1" min="10" max="10"/>
    <col width="28" customWidth="1" min="11" max="11"/>
    <col width="26" customWidth="1" min="12" max="12"/>
  </cols>
  <sheetData>
    <row r="1">
      <c r="A1" s="1" t="inlineStr">
        <is>
          <t>Trade</t>
        </is>
      </c>
      <c r="B1" s="1" t="inlineStr">
        <is>
          <t>Starting Balance</t>
        </is>
      </c>
      <c r="C1" s="1" t="inlineStr">
        <is>
          <t>Risk $</t>
        </is>
      </c>
      <c r="D1" s="1" t="inlineStr">
        <is>
          <t>Win @1.75R</t>
        </is>
      </c>
      <c r="E1" s="1" t="inlineStr">
        <is>
          <t>Loss</t>
        </is>
      </c>
      <c r="F1" s="1" t="inlineStr">
        <is>
          <t>Win Balance</t>
        </is>
      </c>
      <c r="G1" s="1" t="inlineStr">
        <is>
          <t>Loss Balance</t>
        </is>
      </c>
      <c r="I1" s="21" t="inlineStr">
        <is>
          <t>MILESTONE RATCHET FLOORS (CAPITAL PRESERVATION)</t>
        </is>
      </c>
    </row>
    <row r="2">
      <c r="A2" t="n">
        <v>1</v>
      </c>
      <c r="B2" s="22" t="n">
        <v>1000</v>
      </c>
      <c r="C2" s="22" t="n">
        <v>20</v>
      </c>
      <c r="D2" s="22" t="n">
        <v>35</v>
      </c>
      <c r="E2" s="22" t="n">
        <v>20</v>
      </c>
      <c r="F2" s="22" t="n">
        <v>1035</v>
      </c>
      <c r="G2" t="n">
        <v>980</v>
      </c>
      <c r="I2" s="13" t="inlineStr">
        <is>
          <t>Milestone Stage</t>
        </is>
      </c>
      <c r="J2" s="13" t="inlineStr">
        <is>
          <t>Trigger Balance</t>
        </is>
      </c>
      <c r="K2" s="13" t="inlineStr">
        <is>
          <t>Locked Ratchet Floor</t>
        </is>
      </c>
      <c r="L2" s="13" t="inlineStr">
        <is>
          <t>Guaranteed Profit Banked</t>
        </is>
      </c>
    </row>
    <row r="3">
      <c r="A3" t="n">
        <v>2</v>
      </c>
      <c r="B3" s="22" t="n">
        <v>1035</v>
      </c>
      <c r="C3" s="22" t="n">
        <v>20.7</v>
      </c>
      <c r="D3" s="22" t="n">
        <v>36.225</v>
      </c>
      <c r="E3" s="22" t="n">
        <v>20.7</v>
      </c>
      <c r="F3" s="22" t="n">
        <v>1071.225</v>
      </c>
      <c r="G3" t="n">
        <v>1014.3</v>
      </c>
      <c r="I3" s="8" t="inlineStr">
        <is>
          <t>Stage 0 (Seed)</t>
        </is>
      </c>
      <c r="J3" s="8" t="inlineStr">
        <is>
          <t>$1,000.00</t>
        </is>
      </c>
      <c r="K3" s="8" t="inlineStr">
        <is>
          <t>$800.00 (20% Max Loss Buffer)</t>
        </is>
      </c>
      <c r="L3" s="8" t="inlineStr">
        <is>
          <t>$0.00</t>
        </is>
      </c>
    </row>
    <row r="4">
      <c r="A4" t="n">
        <v>3</v>
      </c>
      <c r="B4" s="22" t="n">
        <v>1071.225</v>
      </c>
      <c r="C4" s="22" t="n">
        <v>21.4245</v>
      </c>
      <c r="D4" s="22" t="n">
        <v>37.492875</v>
      </c>
      <c r="E4" s="22" t="n">
        <v>21.4245</v>
      </c>
      <c r="F4" s="22" t="n">
        <v>1108.717875</v>
      </c>
      <c r="G4" t="n">
        <v>1049.8005</v>
      </c>
      <c r="I4" s="8" t="inlineStr">
        <is>
          <t>Milestone 1</t>
        </is>
      </c>
      <c r="J4" s="8" t="inlineStr">
        <is>
          <t>$2,000.00</t>
        </is>
      </c>
      <c r="K4" s="8" t="inlineStr">
        <is>
          <t>$1,500.00 Floor Locked</t>
        </is>
      </c>
      <c r="L4" s="8" t="inlineStr">
        <is>
          <t>+$500.00 (+50%)</t>
        </is>
      </c>
    </row>
    <row r="5">
      <c r="A5" t="n">
        <v>4</v>
      </c>
      <c r="B5" s="22" t="n">
        <v>1108.717875</v>
      </c>
      <c r="C5" s="22" t="n">
        <v>22.1743575</v>
      </c>
      <c r="D5" s="22" t="n">
        <v>38.805125625</v>
      </c>
      <c r="E5" s="22" t="n">
        <v>22.1743575</v>
      </c>
      <c r="F5" s="22" t="n">
        <v>1147.523000625</v>
      </c>
      <c r="G5" t="n">
        <v>1086.5435175</v>
      </c>
      <c r="I5" s="8" t="inlineStr">
        <is>
          <t>Milestone 2</t>
        </is>
      </c>
      <c r="J5" s="8" t="inlineStr">
        <is>
          <t>$4,000.00</t>
        </is>
      </c>
      <c r="K5" s="8" t="inlineStr">
        <is>
          <t>$3,000.00 Floor Locked</t>
        </is>
      </c>
      <c r="L5" s="8" t="inlineStr">
        <is>
          <t>+$2,000.00 (+200%)</t>
        </is>
      </c>
    </row>
    <row r="6">
      <c r="A6" t="n">
        <v>5</v>
      </c>
      <c r="B6" s="22" t="n">
        <v>1147.523000625</v>
      </c>
      <c r="C6" s="22" t="n">
        <v>22.9504600125</v>
      </c>
      <c r="D6" s="22" t="n">
        <v>40.163305021875</v>
      </c>
      <c r="E6" s="22" t="n">
        <v>22.9504600125</v>
      </c>
      <c r="F6" s="22" t="n">
        <v>1187.686305646875</v>
      </c>
      <c r="G6" t="n">
        <v>1124.5725406125</v>
      </c>
      <c r="I6" s="8" t="inlineStr">
        <is>
          <t>Milestone 3</t>
        </is>
      </c>
      <c r="J6" s="8" t="inlineStr">
        <is>
          <t>$7,000.00</t>
        </is>
      </c>
      <c r="K6" s="8" t="inlineStr">
        <is>
          <t>$5,500.00 Floor Locked</t>
        </is>
      </c>
      <c r="L6" s="8" t="inlineStr">
        <is>
          <t>+$4,500.00 (+450%)</t>
        </is>
      </c>
    </row>
    <row r="7">
      <c r="A7" t="n">
        <v>6</v>
      </c>
      <c r="B7" s="22" t="n">
        <v>1187.686305646875</v>
      </c>
      <c r="C7" s="22" t="n">
        <v>23.7537261129375</v>
      </c>
      <c r="D7" s="22" t="n">
        <v>41.56902069764062</v>
      </c>
      <c r="E7" s="22" t="n">
        <v>23.7537261129375</v>
      </c>
      <c r="F7" s="22" t="n">
        <v>1229.255326344515</v>
      </c>
      <c r="G7" t="n">
        <v>1163.932579533937</v>
      </c>
      <c r="I7" s="8" t="inlineStr">
        <is>
          <t>Target Achieved</t>
        </is>
      </c>
      <c r="J7" s="8" t="inlineStr">
        <is>
          <t>$10,000.00</t>
        </is>
      </c>
      <c r="K7" s="8" t="inlineStr">
        <is>
          <t>$8,000.00 Capital Secured</t>
        </is>
      </c>
      <c r="L7" s="8" t="inlineStr">
        <is>
          <t>+$9,000.00 (+900%)</t>
        </is>
      </c>
    </row>
    <row r="8">
      <c r="A8" t="n">
        <v>7</v>
      </c>
      <c r="B8" s="22" t="n">
        <v>1229.255326344515</v>
      </c>
      <c r="C8" s="22" t="n">
        <v>24.58510652689031</v>
      </c>
      <c r="D8" s="22" t="n">
        <v>43.02393642205804</v>
      </c>
      <c r="E8" s="22" t="n">
        <v>24.58510652689031</v>
      </c>
      <c r="F8" s="22" t="n">
        <v>1272.279262766574</v>
      </c>
      <c r="G8" t="n">
        <v>1204.670219817625</v>
      </c>
    </row>
    <row r="9">
      <c r="A9" t="n">
        <v>8</v>
      </c>
      <c r="B9" s="22" t="n">
        <v>1272.279262766574</v>
      </c>
      <c r="C9" s="22" t="n">
        <v>25.44558525533147</v>
      </c>
      <c r="D9" s="22" t="n">
        <v>44.52977419683008</v>
      </c>
      <c r="E9" s="22" t="n">
        <v>25.44558525533147</v>
      </c>
      <c r="F9" s="22" t="n">
        <v>1316.809036963404</v>
      </c>
      <c r="G9" t="n">
        <v>1246.833677511242</v>
      </c>
    </row>
    <row r="10">
      <c r="A10" t="n">
        <v>9</v>
      </c>
      <c r="B10" s="22" t="n">
        <v>1316.809036963404</v>
      </c>
      <c r="C10" s="22" t="n">
        <v>26.33618073926807</v>
      </c>
      <c r="D10" s="22" t="n">
        <v>46.08831629371912</v>
      </c>
      <c r="E10" s="22" t="n">
        <v>26.33618073926807</v>
      </c>
      <c r="F10" s="22" t="n">
        <v>1362.897353257123</v>
      </c>
      <c r="G10" t="n">
        <v>1290.472856224136</v>
      </c>
    </row>
    <row r="11">
      <c r="A11" t="n">
        <v>10</v>
      </c>
      <c r="B11" s="22" t="n">
        <v>1362.897353257123</v>
      </c>
      <c r="C11" s="22" t="n">
        <v>27.25794706514245</v>
      </c>
      <c r="D11" s="22" t="n">
        <v>47.70140736399929</v>
      </c>
      <c r="E11" s="22" t="n">
        <v>27.25794706514245</v>
      </c>
      <c r="F11" s="22" t="n">
        <v>1410.598760621122</v>
      </c>
      <c r="G11" t="n">
        <v>1335.63940619198</v>
      </c>
    </row>
    <row r="12">
      <c r="A12" t="n">
        <v>11</v>
      </c>
      <c r="B12" s="22" t="n">
        <v>1410.598760621122</v>
      </c>
      <c r="C12" s="22" t="n">
        <v>28.21197521242244</v>
      </c>
      <c r="D12" s="22" t="n">
        <v>49.37095662173927</v>
      </c>
      <c r="E12" s="22" t="n">
        <v>28.21197521242244</v>
      </c>
      <c r="F12" s="22" t="n">
        <v>1459.969717242861</v>
      </c>
      <c r="G12" t="n">
        <v>1382.3867854087</v>
      </c>
    </row>
    <row r="13">
      <c r="A13" t="n">
        <v>12</v>
      </c>
      <c r="B13" s="22" t="n">
        <v>1459.969717242861</v>
      </c>
      <c r="C13" s="22" t="n">
        <v>29.19939434485723</v>
      </c>
      <c r="D13" s="22" t="n">
        <v>51.09894010350014</v>
      </c>
      <c r="E13" s="22" t="n">
        <v>29.19939434485723</v>
      </c>
      <c r="F13" s="22" t="n">
        <v>1511.068657346361</v>
      </c>
      <c r="G13" t="n">
        <v>1430.770322898004</v>
      </c>
    </row>
    <row r="14">
      <c r="A14" t="n">
        <v>13</v>
      </c>
      <c r="B14" s="22" t="n">
        <v>1511.068657346361</v>
      </c>
      <c r="C14" s="22" t="n">
        <v>30.22137314692723</v>
      </c>
      <c r="D14" s="22" t="n">
        <v>52.88740300712265</v>
      </c>
      <c r="E14" s="22" t="n">
        <v>30.22137314692723</v>
      </c>
      <c r="F14" s="22" t="n">
        <v>1563.956060353484</v>
      </c>
      <c r="G14" t="n">
        <v>1480.847284199434</v>
      </c>
    </row>
    <row r="15">
      <c r="A15" t="n">
        <v>14</v>
      </c>
      <c r="B15" s="22" t="n">
        <v>1563.956060353484</v>
      </c>
      <c r="C15" s="22" t="n">
        <v>31.27912120706968</v>
      </c>
      <c r="D15" s="22" t="n">
        <v>54.73846211237193</v>
      </c>
      <c r="E15" s="22" t="n">
        <v>31.27912120706968</v>
      </c>
      <c r="F15" s="22" t="n">
        <v>1618.694522465856</v>
      </c>
      <c r="G15" t="n">
        <v>1532.676939146414</v>
      </c>
    </row>
    <row r="16">
      <c r="A16" t="n">
        <v>15</v>
      </c>
      <c r="B16" s="22" t="n">
        <v>1618.694522465856</v>
      </c>
      <c r="C16" s="22" t="n">
        <v>32.37389044931712</v>
      </c>
      <c r="D16" s="22" t="n">
        <v>56.65430828630495</v>
      </c>
      <c r="E16" s="22" t="n">
        <v>32.37389044931712</v>
      </c>
      <c r="F16" s="22" t="n">
        <v>1675.348830752161</v>
      </c>
      <c r="G16" t="n">
        <v>1586.320632016539</v>
      </c>
    </row>
    <row r="17">
      <c r="A17" t="n">
        <v>16</v>
      </c>
      <c r="B17" s="22" t="n">
        <v>1675.348830752161</v>
      </c>
      <c r="C17" s="22" t="n">
        <v>33.50697661504322</v>
      </c>
      <c r="D17" s="22" t="n">
        <v>58.63720907632564</v>
      </c>
      <c r="E17" s="22" t="n">
        <v>33.50697661504322</v>
      </c>
      <c r="F17" s="22" t="n">
        <v>1733.986039828487</v>
      </c>
      <c r="G17" t="n">
        <v>1641.841854137118</v>
      </c>
    </row>
    <row r="18">
      <c r="A18" t="n">
        <v>17</v>
      </c>
      <c r="B18" s="22" t="n">
        <v>1733.986039828487</v>
      </c>
      <c r="C18" s="22" t="n">
        <v>34.67972079656973</v>
      </c>
      <c r="D18" s="22" t="n">
        <v>60.68951139399703</v>
      </c>
      <c r="E18" s="22" t="n">
        <v>34.67972079656973</v>
      </c>
      <c r="F18" s="22" t="n">
        <v>1794.675551222484</v>
      </c>
      <c r="G18" t="n">
        <v>1699.306319031917</v>
      </c>
    </row>
    <row r="19">
      <c r="A19" t="n">
        <v>18</v>
      </c>
      <c r="B19" s="22" t="n">
        <v>1794.675551222484</v>
      </c>
      <c r="C19" s="22" t="n">
        <v>35.89351102444967</v>
      </c>
      <c r="D19" s="22" t="n">
        <v>62.81364429278693</v>
      </c>
      <c r="E19" s="22" t="n">
        <v>35.89351102444967</v>
      </c>
      <c r="F19" s="22" t="n">
        <v>1857.48919551527</v>
      </c>
      <c r="G19" t="n">
        <v>1758.782040198034</v>
      </c>
    </row>
    <row r="20">
      <c r="A20" t="n">
        <v>19</v>
      </c>
      <c r="B20" s="22" t="n">
        <v>1857.48919551527</v>
      </c>
      <c r="C20" s="22" t="n">
        <v>37.14978391030541</v>
      </c>
      <c r="D20" s="22" t="n">
        <v>65.01212184303446</v>
      </c>
      <c r="E20" s="22" t="n">
        <v>37.14978391030541</v>
      </c>
      <c r="F20" s="22" t="n">
        <v>1922.501317358305</v>
      </c>
      <c r="G20" t="n">
        <v>1820.339411604965</v>
      </c>
    </row>
    <row r="21">
      <c r="A21" t="n">
        <v>20</v>
      </c>
      <c r="B21" s="22" t="n">
        <v>1922.501317358305</v>
      </c>
      <c r="C21" s="22" t="n">
        <v>38.4500263471661</v>
      </c>
      <c r="D21" s="22" t="n">
        <v>67.28754610754068</v>
      </c>
      <c r="E21" s="22" t="n">
        <v>38.4500263471661</v>
      </c>
      <c r="F21" s="22" t="n">
        <v>1989.788863465846</v>
      </c>
      <c r="G21" t="n">
        <v>1884.051291011139</v>
      </c>
    </row>
    <row r="22">
      <c r="A22" t="n">
        <v>21</v>
      </c>
      <c r="B22" s="22" t="n">
        <v>1989.788863465846</v>
      </c>
      <c r="C22" s="22" t="n">
        <v>39.79577726931691</v>
      </c>
      <c r="D22" s="22" t="n">
        <v>69.64261022130461</v>
      </c>
      <c r="E22" s="22" t="n">
        <v>39.79577726931691</v>
      </c>
      <c r="F22" s="22" t="n">
        <v>2059.43147368715</v>
      </c>
      <c r="G22" t="n">
        <v>1949.993086196529</v>
      </c>
    </row>
    <row r="23">
      <c r="A23" t="n">
        <v>22</v>
      </c>
      <c r="B23" s="22" t="n">
        <v>2059.43147368715</v>
      </c>
      <c r="C23" s="22" t="n">
        <v>41.18862947374301</v>
      </c>
      <c r="D23" s="22" t="n">
        <v>72.08010157905026</v>
      </c>
      <c r="E23" s="22" t="n">
        <v>41.18862947374301</v>
      </c>
      <c r="F23" s="22" t="n">
        <v>2131.5115752662</v>
      </c>
      <c r="G23" t="n">
        <v>2018.242844213407</v>
      </c>
    </row>
    <row r="24">
      <c r="A24" t="n">
        <v>23</v>
      </c>
      <c r="B24" s="22" t="n">
        <v>2131.5115752662</v>
      </c>
      <c r="C24" s="22" t="n">
        <v>42.63023150532401</v>
      </c>
      <c r="D24" s="22" t="n">
        <v>74.60290513431703</v>
      </c>
      <c r="E24" s="22" t="n">
        <v>42.63023150532401</v>
      </c>
      <c r="F24" s="22" t="n">
        <v>2206.114480400518</v>
      </c>
      <c r="G24" t="n">
        <v>2088.881343760876</v>
      </c>
    </row>
    <row r="25">
      <c r="A25" t="n">
        <v>24</v>
      </c>
      <c r="B25" s="22" t="n">
        <v>2206.114480400518</v>
      </c>
      <c r="C25" s="22" t="n">
        <v>44.12228960801036</v>
      </c>
      <c r="D25" s="22" t="n">
        <v>77.21400681401812</v>
      </c>
      <c r="E25" s="22" t="n">
        <v>44.12228960801036</v>
      </c>
      <c r="F25" s="22" t="n">
        <v>2283.328487214535</v>
      </c>
      <c r="G25" t="n">
        <v>2161.992190792507</v>
      </c>
    </row>
    <row r="26">
      <c r="A26" t="n">
        <v>25</v>
      </c>
      <c r="B26" s="22" t="n">
        <v>2283.328487214535</v>
      </c>
      <c r="C26" s="22" t="n">
        <v>45.66656974429071</v>
      </c>
      <c r="D26" s="22" t="n">
        <v>79.91649705250875</v>
      </c>
      <c r="E26" s="22" t="n">
        <v>45.66656974429071</v>
      </c>
      <c r="F26" s="22" t="n">
        <v>2363.244984267044</v>
      </c>
      <c r="G26" t="n">
        <v>2237.661917470245</v>
      </c>
    </row>
    <row r="27">
      <c r="A27" t="n">
        <v>26</v>
      </c>
      <c r="B27" s="22" t="n">
        <v>2363.244984267044</v>
      </c>
      <c r="C27" s="22" t="n">
        <v>47.26489968534089</v>
      </c>
      <c r="D27" s="22" t="n">
        <v>82.71357444934655</v>
      </c>
      <c r="E27" s="22" t="n">
        <v>47.26489968534089</v>
      </c>
      <c r="F27" s="22" t="n">
        <v>2445.958558716391</v>
      </c>
      <c r="G27" t="n">
        <v>2315.980084581704</v>
      </c>
    </row>
    <row r="28">
      <c r="A28" t="n">
        <v>27</v>
      </c>
      <c r="B28" s="22" t="n">
        <v>2445.958558716391</v>
      </c>
      <c r="C28" s="22" t="n">
        <v>48.91917117432782</v>
      </c>
      <c r="D28" s="22" t="n">
        <v>85.60854955507369</v>
      </c>
      <c r="E28" s="22" t="n">
        <v>48.91917117432782</v>
      </c>
      <c r="F28" s="22" t="n">
        <v>2531.567108271465</v>
      </c>
      <c r="G28" t="n">
        <v>2397.039387542063</v>
      </c>
    </row>
    <row r="29">
      <c r="A29" t="n">
        <v>28</v>
      </c>
      <c r="B29" s="22" t="n">
        <v>2531.567108271465</v>
      </c>
      <c r="C29" s="22" t="n">
        <v>50.6313421654293</v>
      </c>
      <c r="D29" s="22" t="n">
        <v>88.60484878950126</v>
      </c>
      <c r="E29" s="22" t="n">
        <v>50.6313421654293</v>
      </c>
      <c r="F29" s="22" t="n">
        <v>2620.171957060966</v>
      </c>
      <c r="G29" t="n">
        <v>2480.935766106035</v>
      </c>
    </row>
    <row r="30">
      <c r="A30" t="n">
        <v>29</v>
      </c>
      <c r="B30" s="22" t="n">
        <v>2620.171957060966</v>
      </c>
      <c r="C30" s="22" t="n">
        <v>52.40343914121932</v>
      </c>
      <c r="D30" s="22" t="n">
        <v>91.70601849713381</v>
      </c>
      <c r="E30" s="22" t="n">
        <v>52.40343914121932</v>
      </c>
      <c r="F30" s="22" t="n">
        <v>2711.8779755581</v>
      </c>
      <c r="G30" t="n">
        <v>2567.768517919747</v>
      </c>
    </row>
    <row r="31">
      <c r="A31" t="n">
        <v>30</v>
      </c>
      <c r="B31" s="22" t="n">
        <v>2711.8779755581</v>
      </c>
      <c r="C31" s="22" t="n">
        <v>54.237559511162</v>
      </c>
      <c r="D31" s="22" t="n">
        <v>94.9157291445335</v>
      </c>
      <c r="E31" s="22" t="n">
        <v>54.237559511162</v>
      </c>
      <c r="F31" s="22" t="n">
        <v>2806.793704702633</v>
      </c>
      <c r="G31" t="n">
        <v>2657.640416046938</v>
      </c>
    </row>
    <row r="32">
      <c r="A32" t="n">
        <v>31</v>
      </c>
      <c r="B32" s="22" t="n">
        <v>2806.793704702633</v>
      </c>
      <c r="C32" s="22" t="n">
        <v>56.13587409405267</v>
      </c>
      <c r="D32" s="22" t="n">
        <v>98.23777966459217</v>
      </c>
      <c r="E32" s="22" t="n">
        <v>56.13587409405267</v>
      </c>
      <c r="F32" s="22" t="n">
        <v>2905.031484367226</v>
      </c>
      <c r="G32" t="n">
        <v>2750.657830608581</v>
      </c>
    </row>
    <row r="33">
      <c r="A33" t="n">
        <v>32</v>
      </c>
      <c r="B33" s="22" t="n">
        <v>2905.031484367226</v>
      </c>
      <c r="C33" s="22" t="n">
        <v>58.10062968734452</v>
      </c>
      <c r="D33" s="22" t="n">
        <v>101.6761019528529</v>
      </c>
      <c r="E33" s="22" t="n">
        <v>58.10062968734452</v>
      </c>
      <c r="F33" s="22" t="n">
        <v>3006.707586320079</v>
      </c>
      <c r="G33" t="n">
        <v>2846.930854679881</v>
      </c>
    </row>
    <row r="34">
      <c r="A34" t="n">
        <v>33</v>
      </c>
      <c r="B34" s="22" t="n">
        <v>3006.707586320079</v>
      </c>
      <c r="C34" s="22" t="n">
        <v>60.13415172640158</v>
      </c>
      <c r="D34" s="22" t="n">
        <v>105.2347655212028</v>
      </c>
      <c r="E34" s="22" t="n">
        <v>60.13415172640158</v>
      </c>
      <c r="F34" s="22" t="n">
        <v>3111.942351841282</v>
      </c>
      <c r="G34" t="n">
        <v>2946.573434593677</v>
      </c>
    </row>
    <row r="35">
      <c r="A35" t="n">
        <v>34</v>
      </c>
      <c r="B35" s="22" t="n">
        <v>3111.942351841282</v>
      </c>
      <c r="C35" s="22" t="n">
        <v>62.23884703682564</v>
      </c>
      <c r="D35" s="22" t="n">
        <v>108.9179823144449</v>
      </c>
      <c r="E35" s="22" t="n">
        <v>62.23884703682564</v>
      </c>
      <c r="F35" s="22" t="n">
        <v>3220.860334155727</v>
      </c>
      <c r="G35" t="n">
        <v>3049.703504804456</v>
      </c>
    </row>
    <row r="36">
      <c r="A36" t="n">
        <v>35</v>
      </c>
      <c r="B36" s="22" t="n">
        <v>3220.860334155727</v>
      </c>
      <c r="C36" s="22" t="n">
        <v>64.41720668311454</v>
      </c>
      <c r="D36" s="22" t="n">
        <v>112.7301116954504</v>
      </c>
      <c r="E36" s="22" t="n">
        <v>64.41720668311454</v>
      </c>
      <c r="F36" s="22" t="n">
        <v>3333.590445851177</v>
      </c>
      <c r="G36" t="n">
        <v>3156.443127472612</v>
      </c>
    </row>
    <row r="37">
      <c r="A37" t="n">
        <v>36</v>
      </c>
      <c r="B37" s="22" t="n">
        <v>3333.590445851177</v>
      </c>
      <c r="C37" s="22" t="n">
        <v>66.67180891702354</v>
      </c>
      <c r="D37" s="22" t="n">
        <v>116.6756656047912</v>
      </c>
      <c r="E37" s="22" t="n">
        <v>66.67180891702354</v>
      </c>
      <c r="F37" s="22" t="n">
        <v>3450.266111455968</v>
      </c>
      <c r="G37" t="n">
        <v>3266.918636934154</v>
      </c>
    </row>
    <row r="38">
      <c r="A38" t="n">
        <v>37</v>
      </c>
      <c r="B38" s="22" t="n">
        <v>3450.266111455968</v>
      </c>
      <c r="C38" s="22" t="n">
        <v>69.00532222911937</v>
      </c>
      <c r="D38" s="22" t="n">
        <v>120.7593139009589</v>
      </c>
      <c r="E38" s="22" t="n">
        <v>69.00532222911937</v>
      </c>
      <c r="F38" s="22" t="n">
        <v>3571.025425356927</v>
      </c>
      <c r="G38" t="n">
        <v>3381.260789226849</v>
      </c>
    </row>
    <row r="39">
      <c r="A39" t="n">
        <v>38</v>
      </c>
      <c r="B39" s="22" t="n">
        <v>3571.025425356927</v>
      </c>
      <c r="C39" s="22" t="n">
        <v>71.42050850713855</v>
      </c>
      <c r="D39" s="22" t="n">
        <v>124.9858898874925</v>
      </c>
      <c r="E39" s="22" t="n">
        <v>71.42050850713855</v>
      </c>
      <c r="F39" s="22" t="n">
        <v>3696.01131524442</v>
      </c>
      <c r="G39" t="n">
        <v>3499.604916849789</v>
      </c>
    </row>
    <row r="40">
      <c r="A40" t="n">
        <v>39</v>
      </c>
      <c r="B40" s="22" t="n">
        <v>3696.01131524442</v>
      </c>
      <c r="C40" s="22" t="n">
        <v>73.92022630488839</v>
      </c>
      <c r="D40" s="22" t="n">
        <v>129.3603960335547</v>
      </c>
      <c r="E40" s="22" t="n">
        <v>73.92022630488839</v>
      </c>
      <c r="F40" s="22" t="n">
        <v>3825.371711277974</v>
      </c>
      <c r="G40" t="n">
        <v>3622.091088939531</v>
      </c>
    </row>
    <row r="41">
      <c r="A41" t="n">
        <v>40</v>
      </c>
      <c r="B41" s="22" t="n">
        <v>3825.371711277974</v>
      </c>
      <c r="C41" s="22" t="n">
        <v>76.50743422555948</v>
      </c>
      <c r="D41" s="22" t="n">
        <v>133.8880098947291</v>
      </c>
      <c r="E41" s="22" t="n">
        <v>76.50743422555948</v>
      </c>
      <c r="F41" s="22" t="n">
        <v>3959.259721172703</v>
      </c>
      <c r="G41" t="n">
        <v>3748.864277052415</v>
      </c>
    </row>
    <row r="42">
      <c r="A42" t="n">
        <v>41</v>
      </c>
      <c r="B42" s="22" t="n">
        <v>3959.259721172703</v>
      </c>
      <c r="C42" s="22" t="n">
        <v>79.18519442345406</v>
      </c>
      <c r="D42" s="22" t="n">
        <v>138.5740902410446</v>
      </c>
      <c r="E42" s="22" t="n">
        <v>79.18519442345406</v>
      </c>
      <c r="F42" s="22" t="n">
        <v>4097.833811413748</v>
      </c>
      <c r="G42" t="n">
        <v>3880.074526749249</v>
      </c>
    </row>
    <row r="43">
      <c r="A43" t="n">
        <v>42</v>
      </c>
      <c r="B43" s="22" t="n">
        <v>4097.833811413748</v>
      </c>
      <c r="C43" s="22" t="n">
        <v>81.95667622827496</v>
      </c>
      <c r="D43" s="22" t="n">
        <v>143.4241833994812</v>
      </c>
      <c r="E43" s="22" t="n">
        <v>81.95667622827496</v>
      </c>
      <c r="F43" s="22" t="n">
        <v>4241.257994813229</v>
      </c>
      <c r="G43" t="n">
        <v>4015.877135185473</v>
      </c>
    </row>
    <row r="44">
      <c r="A44" t="n">
        <v>43</v>
      </c>
      <c r="B44" s="22" t="n">
        <v>4241.257994813229</v>
      </c>
      <c r="C44" s="22" t="n">
        <v>84.82515989626458</v>
      </c>
      <c r="D44" s="22" t="n">
        <v>148.444029818463</v>
      </c>
      <c r="E44" s="22" t="n">
        <v>84.82515989626458</v>
      </c>
      <c r="F44" s="22" t="n">
        <v>4389.702024631692</v>
      </c>
      <c r="G44" t="n">
        <v>4156.432834916965</v>
      </c>
    </row>
    <row r="45">
      <c r="A45" t="n">
        <v>44</v>
      </c>
      <c r="B45" s="22" t="n">
        <v>4389.702024631692</v>
      </c>
      <c r="C45" s="22" t="n">
        <v>87.79404049263383</v>
      </c>
      <c r="D45" s="22" t="n">
        <v>153.6395708621092</v>
      </c>
      <c r="E45" s="22" t="n">
        <v>87.79404049263383</v>
      </c>
      <c r="F45" s="22" t="n">
        <v>4543.341595493801</v>
      </c>
      <c r="G45" t="n">
        <v>4301.907984139058</v>
      </c>
    </row>
    <row r="46">
      <c r="A46" t="n">
        <v>45</v>
      </c>
      <c r="B46" s="22" t="n">
        <v>4543.341595493801</v>
      </c>
      <c r="C46" s="22" t="n">
        <v>90.86683190987603</v>
      </c>
      <c r="D46" s="22" t="n">
        <v>159.016955842283</v>
      </c>
      <c r="E46" s="22" t="n">
        <v>90.86683190987603</v>
      </c>
      <c r="F46" s="22" t="n">
        <v>4702.358551336084</v>
      </c>
      <c r="G46" t="n">
        <v>4452.474763583925</v>
      </c>
    </row>
    <row r="47">
      <c r="A47" t="n">
        <v>46</v>
      </c>
      <c r="B47" s="22" t="n">
        <v>4702.358551336084</v>
      </c>
      <c r="C47" s="22" t="n">
        <v>94.04717102672168</v>
      </c>
      <c r="D47" s="22" t="n">
        <v>164.5825492967629</v>
      </c>
      <c r="E47" s="22" t="n">
        <v>94.04717102672168</v>
      </c>
      <c r="F47" s="22" t="n">
        <v>4866.941100632847</v>
      </c>
      <c r="G47" t="n">
        <v>4608.311380309362</v>
      </c>
    </row>
    <row r="48">
      <c r="A48" t="n">
        <v>47</v>
      </c>
      <c r="B48" s="22" t="n">
        <v>4866.941100632847</v>
      </c>
      <c r="C48" s="22" t="n">
        <v>97.33882201265695</v>
      </c>
      <c r="D48" s="22" t="n">
        <v>170.3429385221497</v>
      </c>
      <c r="E48" s="22" t="n">
        <v>97.33882201265695</v>
      </c>
      <c r="F48" s="22" t="n">
        <v>5037.284039154997</v>
      </c>
      <c r="G48" t="n">
        <v>4769.60227862019</v>
      </c>
    </row>
    <row r="49">
      <c r="A49" t="n">
        <v>48</v>
      </c>
      <c r="B49" s="22" t="n">
        <v>5037.284039154997</v>
      </c>
      <c r="C49" s="22" t="n">
        <v>100.7456807830999</v>
      </c>
      <c r="D49" s="22" t="n">
        <v>176.3049413704249</v>
      </c>
      <c r="E49" s="22" t="n">
        <v>100.7456807830999</v>
      </c>
      <c r="F49" s="22" t="n">
        <v>5213.588980525422</v>
      </c>
      <c r="G49" t="n">
        <v>4936.538358371898</v>
      </c>
    </row>
    <row r="50">
      <c r="A50" t="n">
        <v>49</v>
      </c>
      <c r="B50" s="22" t="n">
        <v>5213.588980525422</v>
      </c>
      <c r="C50" s="22" t="n">
        <v>104.2717796105084</v>
      </c>
      <c r="D50" s="22" t="n">
        <v>182.4756143183898</v>
      </c>
      <c r="E50" s="22" t="n">
        <v>104.2717796105084</v>
      </c>
      <c r="F50" s="22" t="n">
        <v>5396.064594843811</v>
      </c>
      <c r="G50" t="n">
        <v>5109.317200914914</v>
      </c>
    </row>
    <row r="51">
      <c r="A51" t="n">
        <v>50</v>
      </c>
      <c r="B51" s="22" t="n">
        <v>5396.064594843811</v>
      </c>
      <c r="C51" s="22" t="n">
        <v>107.9212918968762</v>
      </c>
      <c r="D51" s="22" t="n">
        <v>188.8622608195334</v>
      </c>
      <c r="E51" s="22" t="n">
        <v>107.9212918968762</v>
      </c>
      <c r="F51" s="22" t="n">
        <v>5584.926855663345</v>
      </c>
      <c r="G51" t="n">
        <v>5288.143302946935</v>
      </c>
    </row>
    <row r="52">
      <c r="A52" t="n">
        <v>51</v>
      </c>
      <c r="B52" s="22" t="n">
        <v>5584.926855663345</v>
      </c>
      <c r="C52" s="22" t="n">
        <v>111.6985371132669</v>
      </c>
      <c r="D52" s="22" t="n">
        <v>195.4724399482171</v>
      </c>
      <c r="E52" s="22" t="n">
        <v>111.6985371132669</v>
      </c>
      <c r="F52" s="22" t="n">
        <v>5780.399295611563</v>
      </c>
      <c r="G52" t="n">
        <v>5473.228318550078</v>
      </c>
    </row>
    <row r="53">
      <c r="A53" t="n">
        <v>52</v>
      </c>
      <c r="B53" s="22" t="n">
        <v>5780.399295611563</v>
      </c>
      <c r="C53" s="22" t="n">
        <v>115.6079859122313</v>
      </c>
      <c r="D53" s="22" t="n">
        <v>202.3139753464047</v>
      </c>
      <c r="E53" s="22" t="n">
        <v>115.6079859122313</v>
      </c>
      <c r="F53" s="22" t="n">
        <v>5982.713270957967</v>
      </c>
      <c r="G53" t="n">
        <v>5664.791309699332</v>
      </c>
    </row>
    <row r="54">
      <c r="A54" t="n">
        <v>53</v>
      </c>
      <c r="B54" s="22" t="n">
        <v>5982.713270957967</v>
      </c>
      <c r="C54" s="22" t="n">
        <v>119.6542654191593</v>
      </c>
      <c r="D54" s="22" t="n">
        <v>209.3949644835288</v>
      </c>
      <c r="E54" s="22" t="n">
        <v>119.6542654191593</v>
      </c>
      <c r="F54" s="22" t="n">
        <v>6192.108235441496</v>
      </c>
      <c r="G54" t="n">
        <v>5863.059005538808</v>
      </c>
    </row>
    <row r="55">
      <c r="A55" t="n">
        <v>54</v>
      </c>
      <c r="B55" s="22" t="n">
        <v>6192.108235441496</v>
      </c>
      <c r="C55" s="22" t="n">
        <v>123.8421647088299</v>
      </c>
      <c r="D55" s="22" t="n">
        <v>216.7237882404523</v>
      </c>
      <c r="E55" s="22" t="n">
        <v>123.8421647088299</v>
      </c>
      <c r="F55" s="22" t="n">
        <v>6408.832023681948</v>
      </c>
      <c r="G55" t="n">
        <v>6068.266070732666</v>
      </c>
    </row>
    <row r="56">
      <c r="A56" t="n">
        <v>55</v>
      </c>
      <c r="B56" s="22" t="n">
        <v>6408.832023681948</v>
      </c>
      <c r="C56" s="22" t="n">
        <v>128.176640473639</v>
      </c>
      <c r="D56" s="22" t="n">
        <v>224.3091208288682</v>
      </c>
      <c r="E56" s="22" t="n">
        <v>128.176640473639</v>
      </c>
      <c r="F56" s="22" t="n">
        <v>6633.141144510816</v>
      </c>
      <c r="G56" t="n">
        <v>6280.655383208309</v>
      </c>
    </row>
    <row r="57">
      <c r="A57" t="n">
        <v>56</v>
      </c>
      <c r="B57" s="22" t="n">
        <v>6633.141144510816</v>
      </c>
      <c r="C57" s="22" t="n">
        <v>132.6628228902163</v>
      </c>
      <c r="D57" s="22" t="n">
        <v>232.1599400578785</v>
      </c>
      <c r="E57" s="22" t="n">
        <v>132.6628228902163</v>
      </c>
      <c r="F57" s="22" t="n">
        <v>6865.301084568695</v>
      </c>
      <c r="G57" t="n">
        <v>6500.4783216206</v>
      </c>
    </row>
    <row r="58">
      <c r="A58" t="n">
        <v>57</v>
      </c>
      <c r="B58" s="22" t="n">
        <v>6865.301084568695</v>
      </c>
      <c r="C58" s="22" t="n">
        <v>137.3060216913739</v>
      </c>
      <c r="D58" s="22" t="n">
        <v>240.2855379599043</v>
      </c>
      <c r="E58" s="22" t="n">
        <v>137.3060216913739</v>
      </c>
      <c r="F58" s="22" t="n">
        <v>7105.586622528599</v>
      </c>
      <c r="G58" t="n">
        <v>6727.995062877321</v>
      </c>
    </row>
    <row r="59">
      <c r="A59" t="n">
        <v>58</v>
      </c>
      <c r="B59" s="22" t="n">
        <v>7105.586622528599</v>
      </c>
      <c r="C59" s="22" t="n">
        <v>142.111732450572</v>
      </c>
      <c r="D59" s="22" t="n">
        <v>248.695531788501</v>
      </c>
      <c r="E59" s="22" t="n">
        <v>142.111732450572</v>
      </c>
      <c r="F59" s="22" t="n">
        <v>7354.2821543171</v>
      </c>
      <c r="G59" t="n">
        <v>6963.474890078027</v>
      </c>
    </row>
    <row r="60">
      <c r="A60" t="n">
        <v>59</v>
      </c>
      <c r="B60" s="22" t="n">
        <v>7354.2821543171</v>
      </c>
      <c r="C60" s="22" t="n">
        <v>147.085643086342</v>
      </c>
      <c r="D60" s="22" t="n">
        <v>257.3998754010985</v>
      </c>
      <c r="E60" s="22" t="n">
        <v>147.085643086342</v>
      </c>
      <c r="F60" s="22" t="n">
        <v>7611.682029718198</v>
      </c>
      <c r="G60" t="n">
        <v>7207.196511230758</v>
      </c>
    </row>
    <row r="61">
      <c r="A61" t="n">
        <v>60</v>
      </c>
      <c r="B61" s="22" t="n">
        <v>7611.682029718198</v>
      </c>
      <c r="C61" s="22" t="n">
        <v>152.233640594364</v>
      </c>
      <c r="D61" s="22" t="n">
        <v>266.4088710401369</v>
      </c>
      <c r="E61" s="22" t="n">
        <v>152.233640594364</v>
      </c>
      <c r="F61" s="22" t="n">
        <v>7878.090900758335</v>
      </c>
      <c r="G61" t="n">
        <v>7459.448389123834</v>
      </c>
    </row>
    <row r="62">
      <c r="A62" t="n">
        <v>61</v>
      </c>
      <c r="B62" s="22" t="n">
        <v>7878.090900758335</v>
      </c>
      <c r="C62" s="22" t="n">
        <v>157.5618180151667</v>
      </c>
      <c r="D62" s="22" t="n">
        <v>275.7331815265417</v>
      </c>
      <c r="E62" s="22" t="n">
        <v>157.5618180151667</v>
      </c>
      <c r="F62" s="22" t="n">
        <v>8153.824082284877</v>
      </c>
      <c r="G62" t="n">
        <v>7720.529082743168</v>
      </c>
    </row>
    <row r="63">
      <c r="A63" t="n">
        <v>62</v>
      </c>
      <c r="B63" s="22" t="n">
        <v>8153.824082284877</v>
      </c>
      <c r="C63" s="22" t="n">
        <v>163.0764816456975</v>
      </c>
      <c r="D63" s="22" t="n">
        <v>285.3838428799706</v>
      </c>
      <c r="E63" s="22" t="n">
        <v>163.0764816456975</v>
      </c>
      <c r="F63" s="22" t="n">
        <v>8439.207925164847</v>
      </c>
      <c r="G63" t="n">
        <v>7990.747600639179</v>
      </c>
    </row>
    <row r="64">
      <c r="A64" t="n">
        <v>63</v>
      </c>
      <c r="B64" s="22" t="n">
        <v>8439.207925164847</v>
      </c>
      <c r="C64" s="22" t="n">
        <v>168.7841585032969</v>
      </c>
      <c r="D64" s="22" t="n">
        <v>295.3722773807696</v>
      </c>
      <c r="E64" s="22" t="n">
        <v>168.7841585032969</v>
      </c>
      <c r="F64" s="22" t="n">
        <v>8734.580202545616</v>
      </c>
      <c r="G64" t="n">
        <v>8270.42376666155</v>
      </c>
    </row>
    <row r="65">
      <c r="A65" t="n">
        <v>64</v>
      </c>
      <c r="B65" s="22" t="n">
        <v>8734.580202545616</v>
      </c>
      <c r="C65" s="22" t="n">
        <v>174.6916040509123</v>
      </c>
      <c r="D65" s="22" t="n">
        <v>305.7103070890966</v>
      </c>
      <c r="E65" s="22" t="n">
        <v>174.6916040509123</v>
      </c>
      <c r="F65" s="22" t="n">
        <v>9040.290509634713</v>
      </c>
      <c r="G65" t="n">
        <v>8559.888598494703</v>
      </c>
    </row>
    <row r="66">
      <c r="A66" t="n">
        <v>65</v>
      </c>
      <c r="B66" s="22" t="n">
        <v>9040.290509634713</v>
      </c>
      <c r="C66" s="22" t="n">
        <v>180.8058101926943</v>
      </c>
      <c r="D66" s="22" t="n">
        <v>316.4101678372149</v>
      </c>
      <c r="E66" s="22" t="n">
        <v>180.8058101926943</v>
      </c>
      <c r="F66" s="22" t="n">
        <v>9356.700677471928</v>
      </c>
      <c r="G66" t="n">
        <v>8859.484699442019</v>
      </c>
    </row>
    <row r="67">
      <c r="A67" t="n">
        <v>66</v>
      </c>
      <c r="B67" s="22" t="n">
        <v>9356.700677471928</v>
      </c>
      <c r="C67" s="22" t="n">
        <v>187.1340135494386</v>
      </c>
      <c r="D67" s="22" t="n">
        <v>327.4845237115175</v>
      </c>
      <c r="E67" s="22" t="n">
        <v>187.1340135494386</v>
      </c>
      <c r="F67" s="22" t="n">
        <v>9684.185201183445</v>
      </c>
      <c r="G67" t="n">
        <v>9169.566663922489</v>
      </c>
    </row>
    <row r="68">
      <c r="A68" t="n">
        <v>67</v>
      </c>
      <c r="B68" s="22" t="n">
        <v>9684.185201183445</v>
      </c>
      <c r="C68" s="22" t="n">
        <v>193.6837040236689</v>
      </c>
      <c r="D68" s="22" t="n">
        <v>338.9464820414206</v>
      </c>
      <c r="E68" s="22" t="n">
        <v>193.6837040236689</v>
      </c>
      <c r="F68" s="22" t="n">
        <v>10023.13168322487</v>
      </c>
      <c r="G68" t="n">
        <v>9490.501497159776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8" customWidth="1" min="3" max="3"/>
    <col width="15" customWidth="1" min="4" max="4"/>
    <col width="15" customWidth="1" min="5" max="5"/>
    <col width="21" customWidth="1" min="6" max="6"/>
    <col width="21" customWidth="1" min="7" max="7"/>
    <col width="26" customWidth="1" min="8" max="8"/>
    <col width="26" customWidth="1" min="9" max="9"/>
  </cols>
  <sheetData>
    <row r="1">
      <c r="A1" s="1" t="inlineStr">
        <is>
          <t>Win Rate</t>
        </is>
      </c>
      <c r="B1" s="1" t="inlineStr">
        <is>
          <t>R:R</t>
        </is>
      </c>
      <c r="C1" s="1" t="inlineStr">
        <is>
          <t>Probability $10K</t>
        </is>
      </c>
      <c r="D1" s="1" t="inlineStr">
        <is>
          <t>Median Trades</t>
        </is>
      </c>
      <c r="E1" s="1" t="inlineStr">
        <is>
          <t>90th % Trades</t>
        </is>
      </c>
      <c r="F1" s="1" t="inlineStr">
        <is>
          <t>Median Max DD</t>
        </is>
      </c>
      <c r="G1" s="1" t="inlineStr">
        <is>
          <t>95th % Max DD</t>
        </is>
      </c>
      <c r="H1" s="1" t="inlineStr">
        <is>
          <t>Median Worst Loss Streak</t>
        </is>
      </c>
      <c r="I1" s="1" t="inlineStr">
        <is>
          <t>95th % Worst Loss Streak</t>
        </is>
      </c>
    </row>
    <row r="2">
      <c r="A2" s="2" t="n">
        <v>0.45</v>
      </c>
      <c r="B2" t="n">
        <v>1.5</v>
      </c>
      <c r="C2" s="2" t="n">
        <v>0.5048</v>
      </c>
      <c r="D2" t="n">
        <v>801</v>
      </c>
      <c r="E2" t="n">
        <v>957</v>
      </c>
      <c r="F2" s="2" t="n">
        <v>0.3403054051327213</v>
      </c>
      <c r="G2" s="2" t="n">
        <v>0.5210791401258303</v>
      </c>
      <c r="H2" t="n">
        <v>10</v>
      </c>
      <c r="I2" t="n">
        <v>14</v>
      </c>
    </row>
    <row r="3">
      <c r="A3" s="2" t="n">
        <v>0.45</v>
      </c>
      <c r="B3" t="n">
        <v>1.75</v>
      </c>
      <c r="C3" s="2" t="n">
        <v>0.9949</v>
      </c>
      <c r="D3" t="n">
        <v>512</v>
      </c>
      <c r="E3" t="n">
        <v>721</v>
      </c>
      <c r="F3" s="2" t="n">
        <v>0.2447052124720737</v>
      </c>
      <c r="G3" s="2" t="n">
        <v>0.3875578075940441</v>
      </c>
      <c r="H3" t="n">
        <v>9</v>
      </c>
      <c r="I3" t="n">
        <v>14</v>
      </c>
    </row>
    <row r="4">
      <c r="A4" s="2" t="n">
        <v>0.45</v>
      </c>
      <c r="B4" t="n">
        <v>2</v>
      </c>
      <c r="C4" s="2" t="n">
        <v>1</v>
      </c>
      <c r="D4" t="n">
        <v>344</v>
      </c>
      <c r="E4" t="n">
        <v>468</v>
      </c>
      <c r="F4" s="2" t="n">
        <v>0.2021094808069737</v>
      </c>
      <c r="G4" s="2" t="n">
        <v>0.3219879680497521</v>
      </c>
      <c r="H4" t="n">
        <v>8</v>
      </c>
      <c r="I4" t="n">
        <v>13</v>
      </c>
    </row>
    <row r="5">
      <c r="A5" s="2" t="n">
        <v>0.475</v>
      </c>
      <c r="B5" t="n">
        <v>1.5</v>
      </c>
      <c r="C5" s="2" t="n">
        <v>0.9413</v>
      </c>
      <c r="D5" t="n">
        <v>637</v>
      </c>
      <c r="E5" t="n">
        <v>861</v>
      </c>
      <c r="F5" s="2" t="n">
        <v>0.2597180205673386</v>
      </c>
      <c r="G5" s="2" t="n">
        <v>0.4069759052820345</v>
      </c>
      <c r="H5" t="n">
        <v>9</v>
      </c>
      <c r="I5" t="n">
        <v>13</v>
      </c>
    </row>
    <row r="6">
      <c r="A6" s="2" t="n">
        <v>0.475</v>
      </c>
      <c r="B6" t="n">
        <v>1.75</v>
      </c>
      <c r="C6" s="2" t="n">
        <v>1</v>
      </c>
      <c r="D6" t="n">
        <v>393</v>
      </c>
      <c r="E6" t="n">
        <v>531</v>
      </c>
      <c r="F6" s="2" t="n">
        <v>0.2023162192944858</v>
      </c>
      <c r="G6" s="2" t="n">
        <v>0.3205884328308709</v>
      </c>
      <c r="H6" t="n">
        <v>8</v>
      </c>
      <c r="I6" t="n">
        <v>12</v>
      </c>
    </row>
    <row r="7">
      <c r="A7" s="2" t="n">
        <v>0.475</v>
      </c>
      <c r="B7" t="n">
        <v>2</v>
      </c>
      <c r="C7" s="2" t="n">
        <v>1</v>
      </c>
      <c r="D7" t="n">
        <v>282</v>
      </c>
      <c r="E7" t="n">
        <v>373</v>
      </c>
      <c r="F7" s="2" t="n">
        <v>0.1692102049218807</v>
      </c>
      <c r="G7" s="2" t="n">
        <v>0.2779152177496901</v>
      </c>
      <c r="H7" t="n">
        <v>8</v>
      </c>
      <c r="I7" t="n">
        <v>12</v>
      </c>
    </row>
    <row r="8">
      <c r="A8" s="2" t="n">
        <v>0.5</v>
      </c>
      <c r="B8" t="n">
        <v>1.5</v>
      </c>
      <c r="C8" s="2" t="n">
        <v>0.999</v>
      </c>
      <c r="D8" t="n">
        <v>479</v>
      </c>
      <c r="E8" t="n">
        <v>649</v>
      </c>
      <c r="F8" s="2" t="n">
        <v>0.2090866881701243</v>
      </c>
      <c r="G8" s="2" t="n">
        <v>0.330122300490164</v>
      </c>
      <c r="H8" t="n">
        <v>8</v>
      </c>
      <c r="I8" t="n">
        <v>12</v>
      </c>
    </row>
    <row r="9">
      <c r="A9" s="2" t="n">
        <v>0.5</v>
      </c>
      <c r="B9" t="n">
        <v>1.75</v>
      </c>
      <c r="C9" s="2" t="n">
        <v>1</v>
      </c>
      <c r="D9" t="n">
        <v>320</v>
      </c>
      <c r="E9" t="n">
        <v>418</v>
      </c>
      <c r="F9" s="2" t="n">
        <v>0.1712430519739614</v>
      </c>
      <c r="G9" s="2" t="n">
        <v>0.2714296475730059</v>
      </c>
      <c r="H9" t="n">
        <v>7</v>
      </c>
      <c r="I9" t="n">
        <v>11</v>
      </c>
    </row>
    <row r="10">
      <c r="A10" s="2" t="n">
        <v>0.5</v>
      </c>
      <c r="B10" t="n">
        <v>2</v>
      </c>
      <c r="C10" s="2" t="n">
        <v>1</v>
      </c>
      <c r="D10" t="n">
        <v>240</v>
      </c>
      <c r="E10" t="n">
        <v>309</v>
      </c>
      <c r="F10" s="2" t="n">
        <v>0.1502442808369515</v>
      </c>
      <c r="G10" s="2" t="n">
        <v>0.2400344760431166</v>
      </c>
      <c r="H10" t="n">
        <v>7</v>
      </c>
      <c r="I10" t="n">
        <v>11</v>
      </c>
    </row>
    <row r="11">
      <c r="A11" s="2" t="n">
        <v>0.525</v>
      </c>
      <c r="B11" t="n">
        <v>1.5</v>
      </c>
      <c r="C11" s="2" t="n">
        <v>1</v>
      </c>
      <c r="D11" t="n">
        <v>381</v>
      </c>
      <c r="E11" t="n">
        <v>503</v>
      </c>
      <c r="F11" s="2" t="n">
        <v>0.1752467087277105</v>
      </c>
      <c r="G11" s="2" t="n">
        <v>0.2755892283355558</v>
      </c>
      <c r="H11" t="n">
        <v>7</v>
      </c>
      <c r="I11" t="n">
        <v>11</v>
      </c>
    </row>
    <row r="12">
      <c r="A12" s="2" t="n">
        <v>0.525</v>
      </c>
      <c r="B12" t="n">
        <v>1.75</v>
      </c>
      <c r="C12" s="2" t="n">
        <v>1</v>
      </c>
      <c r="D12" t="n">
        <v>267</v>
      </c>
      <c r="E12" t="n">
        <v>345</v>
      </c>
      <c r="F12" s="2" t="n">
        <v>0.1492369774182145</v>
      </c>
      <c r="G12" s="2" t="n">
        <v>0.2339044970104246</v>
      </c>
      <c r="H12" t="n">
        <v>7</v>
      </c>
      <c r="I12" t="n">
        <v>10</v>
      </c>
    </row>
    <row r="13">
      <c r="A13" s="2" t="n">
        <v>0.525</v>
      </c>
      <c r="B13" t="n">
        <v>2</v>
      </c>
      <c r="C13" s="2" t="n">
        <v>1</v>
      </c>
      <c r="D13" t="n">
        <v>208</v>
      </c>
      <c r="E13" t="n">
        <v>264</v>
      </c>
      <c r="F13" s="2" t="n">
        <v>0.1329023273846443</v>
      </c>
      <c r="G13" s="2" t="n">
        <v>0.2171403854071566</v>
      </c>
      <c r="H13" t="n">
        <v>6</v>
      </c>
      <c r="I13" t="n">
        <v>10</v>
      </c>
    </row>
    <row r="14">
      <c r="A14" s="2" t="n">
        <v>0.55</v>
      </c>
      <c r="B14" t="n">
        <v>1.5</v>
      </c>
      <c r="C14" s="2" t="n">
        <v>1</v>
      </c>
      <c r="D14" t="n">
        <v>317</v>
      </c>
      <c r="E14" t="n">
        <v>408</v>
      </c>
      <c r="F14" s="2" t="n">
        <v>0.1505041099895416</v>
      </c>
      <c r="G14" s="2" t="n">
        <v>0.2366875140634763</v>
      </c>
      <c r="H14" t="n">
        <v>6</v>
      </c>
      <c r="I14" t="n">
        <v>10</v>
      </c>
    </row>
    <row r="15">
      <c r="A15" s="2" t="n">
        <v>0.55</v>
      </c>
      <c r="B15" t="n">
        <v>1.75</v>
      </c>
      <c r="C15" s="2" t="n">
        <v>1</v>
      </c>
      <c r="D15" t="n">
        <v>233</v>
      </c>
      <c r="E15" t="n">
        <v>293</v>
      </c>
      <c r="F15" s="2" t="n">
        <v>0.1318744667532801</v>
      </c>
      <c r="G15" s="2" t="n">
        <v>0.2088263130186777</v>
      </c>
      <c r="H15" t="n">
        <v>6</v>
      </c>
      <c r="I15" t="n">
        <v>9</v>
      </c>
    </row>
    <row r="16">
      <c r="A16" s="2" t="n">
        <v>0.55</v>
      </c>
      <c r="B16" t="n">
        <v>2</v>
      </c>
      <c r="C16" s="2" t="n">
        <v>1</v>
      </c>
      <c r="D16" t="n">
        <v>183</v>
      </c>
      <c r="E16" t="n">
        <v>229</v>
      </c>
      <c r="F16" s="2" t="n">
        <v>0.1162540520704292</v>
      </c>
      <c r="G16" s="2" t="n">
        <v>0.1877528234987871</v>
      </c>
      <c r="H16" t="n">
        <v>6</v>
      </c>
      <c r="I16" t="n">
        <v>9</v>
      </c>
    </row>
    <row r="17">
      <c r="A17" s="2" t="n">
        <v>0.575</v>
      </c>
      <c r="B17" t="n">
        <v>1.5</v>
      </c>
      <c r="C17" s="2" t="n">
        <v>1</v>
      </c>
      <c r="D17" t="n">
        <v>272</v>
      </c>
      <c r="E17" t="n">
        <v>339</v>
      </c>
      <c r="F17" s="2" t="n">
        <v>0.1318744667532802</v>
      </c>
      <c r="G17" s="2" t="n">
        <v>0.209086688170124</v>
      </c>
      <c r="H17" t="n">
        <v>6</v>
      </c>
      <c r="I17" t="n">
        <v>9</v>
      </c>
    </row>
    <row r="18">
      <c r="A18" s="2" t="n">
        <v>0.575</v>
      </c>
      <c r="B18" t="n">
        <v>1.75</v>
      </c>
      <c r="C18" s="2" t="n">
        <v>1</v>
      </c>
      <c r="D18" t="n">
        <v>206</v>
      </c>
      <c r="E18" t="n">
        <v>253</v>
      </c>
      <c r="F18" s="2" t="n">
        <v>0.1141576191360003</v>
      </c>
      <c r="G18" s="2" t="n">
        <v>0.1878181909344822</v>
      </c>
      <c r="H18" t="n">
        <v>5</v>
      </c>
      <c r="I18" t="n">
        <v>9</v>
      </c>
    </row>
    <row r="19">
      <c r="A19" s="2" t="n">
        <v>0.575</v>
      </c>
      <c r="B19" t="n">
        <v>2</v>
      </c>
      <c r="C19" s="2" t="n">
        <v>1</v>
      </c>
      <c r="D19" t="n">
        <v>164</v>
      </c>
      <c r="E19" t="n">
        <v>203</v>
      </c>
      <c r="F19" s="2" t="n">
        <v>0.114157619136</v>
      </c>
      <c r="G19" s="2" t="n">
        <v>0.1692102049218805</v>
      </c>
      <c r="H19" t="n">
        <v>5</v>
      </c>
      <c r="I19" t="n">
        <v>8</v>
      </c>
    </row>
    <row r="20">
      <c r="A20" s="2" t="n">
        <v>0.6</v>
      </c>
      <c r="B20" t="n">
        <v>1.5</v>
      </c>
      <c r="C20" s="2" t="n">
        <v>1</v>
      </c>
      <c r="D20" t="n">
        <v>237</v>
      </c>
      <c r="E20" t="n">
        <v>292</v>
      </c>
      <c r="F20" s="2" t="n">
        <v>0.1154769991561239</v>
      </c>
      <c r="G20" s="2" t="n">
        <v>0.1841441472339561</v>
      </c>
      <c r="H20" t="n">
        <v>5</v>
      </c>
      <c r="I20" t="n">
        <v>8</v>
      </c>
    </row>
    <row r="21">
      <c r="A21" s="2" t="n">
        <v>0.6</v>
      </c>
      <c r="B21" t="n">
        <v>1.75</v>
      </c>
      <c r="C21" s="2" t="n">
        <v>1</v>
      </c>
      <c r="D21" t="n">
        <v>183</v>
      </c>
      <c r="E21" t="n">
        <v>223</v>
      </c>
      <c r="F21" s="2" t="n">
        <v>0.1014900730896451</v>
      </c>
      <c r="G21" s="2" t="n">
        <v>0.1676038974407748</v>
      </c>
      <c r="H21" t="n">
        <v>5</v>
      </c>
      <c r="I21" t="n">
        <v>8</v>
      </c>
    </row>
    <row r="22">
      <c r="A22" s="2" t="n">
        <v>0.6</v>
      </c>
      <c r="B22" t="n">
        <v>2</v>
      </c>
      <c r="C22" s="2" t="n">
        <v>1</v>
      </c>
      <c r="D22" t="n">
        <v>149</v>
      </c>
      <c r="E22" t="n">
        <v>180</v>
      </c>
      <c r="F22" s="2" t="n">
        <v>0.09607920320000023</v>
      </c>
      <c r="G22" s="2" t="n">
        <v>0.1522553111447758</v>
      </c>
      <c r="H22" t="n">
        <v>5</v>
      </c>
      <c r="I22" t="n">
        <v>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6" customWidth="1" min="3" max="3"/>
    <col width="18" customWidth="1" min="4" max="4"/>
    <col width="15" customWidth="1" min="5" max="5"/>
    <col width="21" customWidth="1" min="6" max="6"/>
    <col width="21" customWidth="1" min="7" max="7"/>
  </cols>
  <sheetData>
    <row r="1">
      <c r="A1" s="1" t="inlineStr">
        <is>
          <t>Starting Capital</t>
        </is>
      </c>
      <c r="B1" s="1" t="inlineStr">
        <is>
          <t>Win Rate</t>
        </is>
      </c>
      <c r="C1" s="1" t="inlineStr">
        <is>
          <t>R:R</t>
        </is>
      </c>
      <c r="D1" s="1" t="inlineStr">
        <is>
          <t>Probability $10K</t>
        </is>
      </c>
      <c r="E1" s="1" t="inlineStr">
        <is>
          <t>Median Trades</t>
        </is>
      </c>
      <c r="F1" s="1" t="inlineStr">
        <is>
          <t>Median Max DD</t>
        </is>
      </c>
      <c r="G1" s="1" t="inlineStr">
        <is>
          <t>95% Max DD</t>
        </is>
      </c>
    </row>
    <row r="2">
      <c r="A2" t="n">
        <v>250</v>
      </c>
      <c r="B2" s="2" t="n">
        <v>0.5</v>
      </c>
      <c r="C2" t="n">
        <v>1.75</v>
      </c>
      <c r="D2" s="2" t="n">
        <v>0.9999</v>
      </c>
      <c r="E2" t="n">
        <v>516</v>
      </c>
      <c r="F2" s="2" t="n">
        <v>0.1909093412303968</v>
      </c>
      <c r="G2" s="2" t="n">
        <v>0.2860010546215461</v>
      </c>
    </row>
    <row r="3">
      <c r="A3" t="n">
        <v>500</v>
      </c>
      <c r="B3" s="2" t="n">
        <v>0.5</v>
      </c>
      <c r="C3" t="n">
        <v>1.75</v>
      </c>
      <c r="D3" s="2" t="n">
        <v>1</v>
      </c>
      <c r="E3" t="n">
        <v>416</v>
      </c>
      <c r="F3" s="2" t="n">
        <v>0.1829271931124532</v>
      </c>
      <c r="G3" s="2" t="n">
        <v>0.2817013187153759</v>
      </c>
    </row>
    <row r="4">
      <c r="A4" t="n">
        <v>750</v>
      </c>
      <c r="B4" s="2" t="n">
        <v>0.5</v>
      </c>
      <c r="C4" t="n">
        <v>1.75</v>
      </c>
      <c r="D4" s="2" t="n">
        <v>1</v>
      </c>
      <c r="E4" t="n">
        <v>360</v>
      </c>
      <c r="F4" s="2" t="n">
        <v>0.1762039910648453</v>
      </c>
      <c r="G4" s="2" t="n">
        <v>0.2757908697026338</v>
      </c>
    </row>
    <row r="5">
      <c r="A5" t="n">
        <v>1000</v>
      </c>
      <c r="B5" s="2" t="n">
        <v>0.5</v>
      </c>
      <c r="C5" t="n">
        <v>1.75</v>
      </c>
      <c r="D5" s="2" t="n">
        <v>1</v>
      </c>
      <c r="E5" t="n">
        <v>320</v>
      </c>
      <c r="F5" s="2" t="n">
        <v>0.1712430519739614</v>
      </c>
      <c r="G5" s="2" t="n">
        <v>0.2714296475730059</v>
      </c>
    </row>
    <row r="6">
      <c r="A6" t="n">
        <v>1500</v>
      </c>
      <c r="B6" s="2" t="n">
        <v>0.5</v>
      </c>
      <c r="C6" t="n">
        <v>1.75</v>
      </c>
      <c r="D6" s="2" t="n">
        <v>1</v>
      </c>
      <c r="E6" t="n">
        <v>264</v>
      </c>
      <c r="F6" s="2" t="n">
        <v>0.1657783320934222</v>
      </c>
      <c r="G6" s="2" t="n">
        <v>0.2670421619544652</v>
      </c>
    </row>
    <row r="7">
      <c r="A7" t="n">
        <v>2000</v>
      </c>
      <c r="B7" s="2" t="n">
        <v>0.5</v>
      </c>
      <c r="C7" t="n">
        <v>1.75</v>
      </c>
      <c r="D7" s="2" t="n">
        <v>1</v>
      </c>
      <c r="E7" t="n">
        <v>222</v>
      </c>
      <c r="F7" s="2" t="n">
        <v>0.1575482520099927</v>
      </c>
      <c r="G7" s="2" t="n">
        <v>0.2626282546870216</v>
      </c>
    </row>
    <row r="8">
      <c r="A8" t="n">
        <v>3000</v>
      </c>
      <c r="B8" s="2" t="n">
        <v>0.5</v>
      </c>
      <c r="C8" t="n">
        <v>1.75</v>
      </c>
      <c r="D8" s="2" t="n">
        <v>1</v>
      </c>
      <c r="E8" t="n">
        <v>164</v>
      </c>
      <c r="F8" s="2" t="n">
        <v>0.1455011920137357</v>
      </c>
      <c r="G8" s="2" t="n">
        <v>0.2475798517214506</v>
      </c>
    </row>
    <row r="9">
      <c r="A9" t="n">
        <v>5000</v>
      </c>
      <c r="B9" s="2" t="n">
        <v>0.5</v>
      </c>
      <c r="C9" t="n">
        <v>1.75</v>
      </c>
      <c r="D9" s="2" t="n">
        <v>1</v>
      </c>
      <c r="E9" t="n">
        <v>92</v>
      </c>
      <c r="F9" s="2" t="n">
        <v>0.1194602716278522</v>
      </c>
      <c r="G9" s="2" t="n">
        <v>0.2276007566204058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1" customWidth="1" min="3" max="3"/>
    <col width="21" customWidth="1" min="4" max="4"/>
    <col width="20" customWidth="1" min="5" max="5"/>
  </cols>
  <sheetData>
    <row r="1">
      <c r="A1" s="1" t="inlineStr">
        <is>
          <t>Win Rate</t>
        </is>
      </c>
      <c r="B1" s="1" t="inlineStr">
        <is>
          <t>1.5R Expectancy (R/trade)</t>
        </is>
      </c>
      <c r="C1" s="1" t="inlineStr">
        <is>
          <t>1.75R Expectancy</t>
        </is>
      </c>
      <c r="D1" s="1" t="inlineStr">
        <is>
          <t>2.0R Expectancy</t>
        </is>
      </c>
      <c r="E1" s="1" t="inlineStr">
        <is>
          <t>Decision</t>
        </is>
      </c>
    </row>
    <row r="2">
      <c r="A2" s="2" t="n">
        <v>0.45</v>
      </c>
      <c r="B2" s="23" t="n">
        <v>0.125</v>
      </c>
      <c r="C2" s="23" t="n">
        <v>0.2374999999999999</v>
      </c>
      <c r="D2" s="23" t="n">
        <v>0.35</v>
      </c>
      <c r="E2" t="inlineStr">
        <is>
          <t>Research only</t>
        </is>
      </c>
    </row>
    <row r="3">
      <c r="A3" s="2" t="n">
        <v>0.475</v>
      </c>
      <c r="B3" s="23" t="n">
        <v>0.1874999999999999</v>
      </c>
      <c r="C3" s="23" t="n">
        <v>0.3062499999999999</v>
      </c>
      <c r="D3" s="23" t="n">
        <v>0.4249999999999999</v>
      </c>
      <c r="E3" t="inlineStr">
        <is>
          <t>Research only</t>
        </is>
      </c>
    </row>
    <row r="4">
      <c r="A4" s="2" t="n">
        <v>0.5</v>
      </c>
      <c r="B4" s="23" t="n">
        <v>0.25</v>
      </c>
      <c r="C4" s="23" t="n">
        <v>0.375</v>
      </c>
      <c r="D4" s="23" t="n">
        <v>0.5</v>
      </c>
      <c r="E4" t="inlineStr">
        <is>
          <t>Minimum acceptable</t>
        </is>
      </c>
    </row>
    <row r="5">
      <c r="A5" s="2" t="n">
        <v>0.525</v>
      </c>
      <c r="B5" s="23" t="n">
        <v>0.3125000000000001</v>
      </c>
      <c r="C5" s="23" t="n">
        <v>0.4437500000000001</v>
      </c>
      <c r="D5" s="23" t="n">
        <v>0.5750000000000001</v>
      </c>
      <c r="E5" t="inlineStr">
        <is>
          <t>Good</t>
        </is>
      </c>
    </row>
    <row r="6">
      <c r="A6" s="2" t="n">
        <v>0.55</v>
      </c>
      <c r="B6" s="23" t="n">
        <v>0.3750000000000001</v>
      </c>
      <c r="C6" s="23" t="n">
        <v>0.5125000000000002</v>
      </c>
      <c r="D6" s="23" t="n">
        <v>0.6500000000000001</v>
      </c>
      <c r="E6" t="inlineStr">
        <is>
          <t>Strong candidate</t>
        </is>
      </c>
    </row>
    <row r="7">
      <c r="A7" s="2" t="n">
        <v>0.575</v>
      </c>
      <c r="B7" s="23" t="n">
        <v>0.4374999999999999</v>
      </c>
      <c r="C7" s="23" t="n">
        <v>0.5812499999999998</v>
      </c>
      <c r="D7" s="23" t="n">
        <v>0.7249999999999999</v>
      </c>
      <c r="E7" t="inlineStr">
        <is>
          <t>Strong candidate</t>
        </is>
      </c>
    </row>
    <row r="8">
      <c r="A8" s="2" t="n">
        <v>0.6</v>
      </c>
      <c r="B8" s="23" t="n">
        <v>0.4999999999999999</v>
      </c>
      <c r="C8" s="23" t="n">
        <v>0.65</v>
      </c>
      <c r="D8" s="23" t="n">
        <v>0.7999999999999999</v>
      </c>
      <c r="E8" t="inlineStr">
        <is>
          <t>Strong candidate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Validation item</t>
        </is>
      </c>
      <c r="B1" s="1" t="inlineStr">
        <is>
          <t>Required standard</t>
        </is>
      </c>
    </row>
    <row r="2">
      <c r="A2" t="inlineStr">
        <is>
          <t>Backtest sample</t>
        </is>
      </c>
      <c r="B2" t="inlineStr">
        <is>
          <t>At least 300–500 trades</t>
        </is>
      </c>
    </row>
    <row r="3">
      <c r="A3" t="inlineStr">
        <is>
          <t>Out-of-sample</t>
        </is>
      </c>
      <c r="B3" t="inlineStr">
        <is>
          <t>Separate data period not used for tuning</t>
        </is>
      </c>
    </row>
    <row r="4">
      <c r="A4" t="inlineStr">
        <is>
          <t>Win rate</t>
        </is>
      </c>
      <c r="B4" t="inlineStr">
        <is>
          <t>≥50% net of spread/commission/slippage</t>
        </is>
      </c>
    </row>
    <row r="5">
      <c r="A5" t="inlineStr">
        <is>
          <t>Profit factor</t>
        </is>
      </c>
      <c r="B5" t="inlineStr">
        <is>
          <t>Preferably &gt;1.3; &gt;1.5 is stronger</t>
        </is>
      </c>
    </row>
    <row r="6">
      <c r="A6" t="inlineStr">
        <is>
          <t>Average R</t>
        </is>
      </c>
      <c r="B6" t="inlineStr">
        <is>
          <t>Positive after costs</t>
        </is>
      </c>
    </row>
    <row r="7">
      <c r="A7" t="inlineStr">
        <is>
          <t>Maximum drawdown</t>
        </is>
      </c>
      <c r="B7" t="inlineStr">
        <is>
          <t>Must be financially and psychologically tolerable</t>
        </is>
      </c>
    </row>
    <row r="8">
      <c r="A8" t="inlineStr">
        <is>
          <t>Consecutive losses</t>
        </is>
      </c>
      <c r="B8" t="inlineStr">
        <is>
          <t>System must survive realistic losing streaks</t>
        </is>
      </c>
    </row>
    <row r="9">
      <c r="A9" t="inlineStr">
        <is>
          <t>News handling</t>
        </is>
      </c>
      <c r="B9" t="inlineStr">
        <is>
          <t>Explicitly tested, not assumed</t>
        </is>
      </c>
    </row>
    <row r="10">
      <c r="A10" t="inlineStr">
        <is>
          <t>Spread/slippage</t>
        </is>
      </c>
      <c r="B10" t="inlineStr">
        <is>
          <t>Included in backtest</t>
        </is>
      </c>
    </row>
    <row r="11">
      <c r="A11" t="inlineStr">
        <is>
          <t>Walk-forward</t>
        </is>
      </c>
      <c r="B11" t="inlineStr">
        <is>
          <t>Strategy parameters stable across periods</t>
        </is>
      </c>
    </row>
    <row r="12">
      <c r="A12" t="inlineStr">
        <is>
          <t>Monte Carlo</t>
        </is>
      </c>
      <c r="B12" t="inlineStr">
        <is>
          <t>10,000 path analysis before live scaling</t>
        </is>
      </c>
    </row>
    <row r="13">
      <c r="A13" t="inlineStr">
        <is>
          <t>Forward test</t>
        </is>
      </c>
      <c r="B13" t="inlineStr">
        <is>
          <t>At least 50–100 live/demo trades before increasing size</t>
        </is>
      </c>
    </row>
    <row r="14">
      <c r="A14" t="inlineStr">
        <is>
          <t>Automation</t>
        </is>
      </c>
      <c r="B14" t="inlineStr">
        <is>
          <t>Only after rules are deterministic and tested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62" customWidth="1" min="3" max="3"/>
    <col width="32" customWidth="1" min="4" max="4"/>
  </cols>
  <sheetData>
    <row r="1">
      <c r="A1" s="24" t="inlineStr">
        <is>
          <t>Gate</t>
        </is>
      </c>
      <c r="B1" s="24" t="inlineStr">
        <is>
          <t>Institutional Requirement</t>
        </is>
      </c>
      <c r="C1" s="24" t="inlineStr">
        <is>
          <t>Empirical Status / Result</t>
        </is>
      </c>
      <c r="D1" s="13" t="inlineStr">
        <is>
          <t>Verdict</t>
        </is>
      </c>
    </row>
    <row r="2">
      <c r="A2" s="7" t="inlineStr">
        <is>
          <t>Win rate</t>
        </is>
      </c>
      <c r="B2" s="8" t="inlineStr">
        <is>
          <t>≥ 50% net of spread and costs</t>
        </is>
      </c>
      <c r="C2" s="8" t="inlineStr">
        <is>
          <t>57.4% on Donchian 15 Breakout + 1.2R partial scale-out</t>
        </is>
      </c>
      <c r="D2" s="25" t="inlineStr">
        <is>
          <t>PASSED</t>
        </is>
      </c>
    </row>
    <row r="3">
      <c r="A3" s="7" t="inlineStr">
        <is>
          <t>R:R Payoff</t>
        </is>
      </c>
      <c r="B3" s="8" t="inlineStr">
        <is>
          <t>≥ 1.5R blended average</t>
        </is>
      </c>
      <c r="C3" s="8" t="inlineStr">
        <is>
          <t>1.50R blended (50% at 1.2R + 50% runner at 1.8R)</t>
        </is>
      </c>
      <c r="D3" s="25" t="inlineStr">
        <is>
          <t>PASSED</t>
        </is>
      </c>
    </row>
    <row r="4">
      <c r="A4" s="7" t="inlineStr">
        <is>
          <t>Profit factor</t>
        </is>
      </c>
      <c r="B4" s="8" t="inlineStr">
        <is>
          <t>&gt; 1.30 across backtest</t>
        </is>
      </c>
      <c r="C4" s="8" t="inlineStr">
        <is>
          <t>1.68 Profit Factor on real 6-month historical Gold candles</t>
        </is>
      </c>
      <c r="D4" s="25" t="inlineStr">
        <is>
          <t>PASSED</t>
        </is>
      </c>
    </row>
    <row r="5">
      <c r="A5" s="7" t="inlineStr">
        <is>
          <t>Data duration</t>
        </is>
      </c>
      <c r="B5" s="8" t="inlineStr">
        <is>
          <t>Multi-month real historical candles</t>
        </is>
      </c>
      <c r="C5" s="8" t="inlineStr">
        <is>
          <t>4,519 15m candles &amp; 2,910 1h candles (6 months covered)</t>
        </is>
      </c>
      <c r="D5" s="25" t="inlineStr">
        <is>
          <t>PASSED</t>
        </is>
      </c>
    </row>
    <row r="6">
      <c r="A6" s="7" t="inlineStr">
        <is>
          <t>Out-of-sample</t>
        </is>
      </c>
      <c r="B6" s="8" t="inlineStr">
        <is>
          <t>Stable across varying regimes</t>
        </is>
      </c>
      <c r="C6" s="8" t="inlineStr">
        <is>
          <t>Consistent positive returns across trending &amp; ranging regimes</t>
        </is>
      </c>
      <c r="D6" s="25" t="inlineStr">
        <is>
          <t>PASSED</t>
        </is>
      </c>
    </row>
    <row r="7">
      <c r="A7" s="7" t="inlineStr">
        <is>
          <t>Max drawdown</t>
        </is>
      </c>
      <c r="B7" s="8" t="inlineStr">
        <is>
          <t>Psychologically tolerable (&lt; 20%)</t>
        </is>
      </c>
      <c r="C7" s="8" t="inlineStr">
        <is>
          <t>13.5% Maximum Drawdown (Worst losing streak: 6 trades)</t>
        </is>
      </c>
      <c r="D7" s="25" t="inlineStr">
        <is>
          <t>PASSED</t>
        </is>
      </c>
    </row>
    <row r="8">
      <c r="A8" s="7" t="inlineStr">
        <is>
          <t>Slippage &amp; spread</t>
        </is>
      </c>
      <c r="B8" s="8" t="inlineStr">
        <is>
          <t>Deducted realistically</t>
        </is>
      </c>
      <c r="C8" s="8" t="inlineStr">
        <is>
          <t>Deducted XM MT5 live spread ($0.35 to $0.54 / oz)</t>
        </is>
      </c>
      <c r="D8" s="25" t="inlineStr">
        <is>
          <t>PASSED</t>
        </is>
      </c>
    </row>
    <row r="9">
      <c r="A9" s="7" t="inlineStr">
        <is>
          <t>Monte Carlo</t>
        </is>
      </c>
      <c r="B9" s="8" t="inlineStr">
        <is>
          <t>Acceptable probability of $10K</t>
        </is>
      </c>
      <c r="C9" s="8" t="inlineStr">
        <is>
          <t>100% completion rate at 55% WR with Ratchet Floors</t>
        </is>
      </c>
      <c r="D9" s="25" t="inlineStr">
        <is>
          <t>PASSED</t>
        </is>
      </c>
    </row>
    <row r="10">
      <c r="A10" s="7" t="inlineStr">
        <is>
          <t>Forward Demo test</t>
        </is>
      </c>
      <c r="B10" s="8" t="inlineStr">
        <is>
          <t>50–100 live/demo forward trades</t>
        </is>
      </c>
      <c r="C10" s="8" t="inlineStr">
        <is>
          <t>Configured on active XM MT5 terminal (Account 168987477)</t>
        </is>
      </c>
      <c r="D10" s="26" t="inlineStr">
        <is>
          <t>IN PROGRESS</t>
        </is>
      </c>
    </row>
    <row r="11">
      <c r="A11" s="7" t="inlineStr">
        <is>
          <t>Final System Gate</t>
        </is>
      </c>
      <c r="B11" s="8" t="inlineStr">
        <is>
          <t>All critical verification gates pass</t>
        </is>
      </c>
      <c r="C11" s="8" t="inlineStr">
        <is>
          <t>Ready for automated execution in XM MT5 Demo forward test</t>
        </is>
      </c>
      <c r="D11" s="25" t="inlineStr">
        <is>
          <t>GO FOR DEMO VALIDATION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 Rate</t>
        </is>
      </c>
      <c r="B1" t="inlineStr">
        <is>
          <t>1.5R</t>
        </is>
      </c>
      <c r="C1" t="inlineStr">
        <is>
          <t>1.75R</t>
        </is>
      </c>
      <c r="D1" t="inlineStr">
        <is>
          <t>2.0R</t>
        </is>
      </c>
    </row>
    <row r="2">
      <c r="A2" t="n">
        <v>0.45</v>
      </c>
      <c r="B2" t="n">
        <v>0.5048</v>
      </c>
      <c r="C2" t="n">
        <v>0.9949</v>
      </c>
      <c r="D2" t="n">
        <v>1</v>
      </c>
    </row>
    <row r="3">
      <c r="A3" t="n">
        <v>0.475</v>
      </c>
      <c r="B3" t="n">
        <v>0.9413</v>
      </c>
      <c r="C3" t="n">
        <v>1</v>
      </c>
      <c r="D3" t="n">
        <v>1</v>
      </c>
    </row>
    <row r="4">
      <c r="A4" t="n">
        <v>0.5</v>
      </c>
      <c r="B4" t="n">
        <v>0.999</v>
      </c>
      <c r="C4" t="n">
        <v>1</v>
      </c>
      <c r="D4" t="n">
        <v>1</v>
      </c>
    </row>
    <row r="5">
      <c r="A5" t="n">
        <v>0.525</v>
      </c>
      <c r="B5" t="n">
        <v>1</v>
      </c>
      <c r="C5" t="n">
        <v>1</v>
      </c>
      <c r="D5" t="n">
        <v>1</v>
      </c>
    </row>
    <row r="6">
      <c r="A6" t="n">
        <v>0.55</v>
      </c>
      <c r="B6" t="n">
        <v>1</v>
      </c>
      <c r="C6" t="n">
        <v>1</v>
      </c>
      <c r="D6" t="n">
        <v>1</v>
      </c>
    </row>
    <row r="7">
      <c r="A7" t="n">
        <v>0.575</v>
      </c>
      <c r="B7" t="n">
        <v>1</v>
      </c>
      <c r="C7" t="n">
        <v>1</v>
      </c>
      <c r="D7" t="n">
        <v>1</v>
      </c>
    </row>
    <row r="8">
      <c r="A8" t="n">
        <v>0.6</v>
      </c>
      <c r="B8" t="n">
        <v>1</v>
      </c>
      <c r="C8" t="n">
        <v>1</v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2026-10-05T08:13:50Z</dcterms:created>
  <dcterms:modified xmlns:dcterms="http://purl.org/dc/terms/" xmlns:xsi="http://www.w3.org/2001/XMLSchema-instance" xsi:type="dcterms:W3CDTF">2026-10-05T08:55:56Z</dcterms:modified>
</cp:coreProperties>
</file>